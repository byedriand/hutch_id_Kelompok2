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Test Cases" sheetId="3" state="visible" r:id="rId5"/>
  </sheets>
  <definedNames>
    <definedName function="false" hidden="true" localSheetId="2" name="_xlnm._FilterDatabase" vbProcedure="false">'Test Cases'!$A$4:$N$104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<sst xmlns="http://schemas.openxmlformats.org/spreadsheetml/2006/main" count="1390" uniqueCount="778">
  <si>
    <t xml:space="preserve">HUTCH ID</t>
  </si>
  <si>
    <t xml:space="preserve">Website OrderFlow — Backend API</t>
  </si>
  <si>
    <t xml:space="preserve">DOKUMEN TEST CASE</t>
  </si>
  <si>
    <t xml:space="preserve">Quality Assurance — Functional &amp; Non-Functional Test Cases</t>
  </si>
  <si>
    <t xml:space="preserve">INFORMASI DOKUMEN</t>
  </si>
  <si>
    <t xml:space="preserve">Nama Dokumen</t>
  </si>
  <si>
    <t xml:space="preserve">Test Case Document – Hutch ID Backend API</t>
  </si>
  <si>
    <t xml:space="preserve">Nomor Dokumen</t>
  </si>
  <si>
    <t xml:space="preserve">QA-TC-HUTCHID-001</t>
  </si>
  <si>
    <t xml:space="preserve">Versi</t>
  </si>
  <si>
    <t xml:space="preserve">1.0</t>
  </si>
  <si>
    <t xml:space="preserve">Tanggal Penerbitan</t>
  </si>
  <si>
    <t xml:space="preserve">15 Juli 2026</t>
  </si>
  <si>
    <t xml:space="preserve">Disusun oleh</t>
  </si>
  <si>
    <t xml:space="preserve">Eka Febryanto (QA Engineer)</t>
  </si>
  <si>
    <t xml:space="preserve">Status Dokumen</t>
  </si>
  <si>
    <t xml:space="preserve">Executed — Hasil Pengujian Tersedia</t>
  </si>
  <si>
    <t xml:space="preserve">Tanggal Eksekusi</t>
  </si>
  <si>
    <t xml:space="preserve">16 Juli 2026</t>
  </si>
  <si>
    <t xml:space="preserve">Total Test Case</t>
  </si>
  <si>
    <t xml:space="preserve">RIWAYAT REVISI DOKUMEN</t>
  </si>
  <si>
    <t xml:space="preserve">Tanggal</t>
  </si>
  <si>
    <t xml:space="preserve">Deskripsi Perubahan</t>
  </si>
  <si>
    <t xml:space="preserve">Penulis</t>
  </si>
  <si>
    <t xml:space="preserve">Penerbitan awal dokumen test case berdasarkan Postman Collection QA Backend API</t>
  </si>
  <si>
    <t xml:space="preserve">Eka Febryanto</t>
  </si>
  <si>
    <t xml:space="preserve">KETERANGAN SEVERITY (TINGKAT KEPARAHAN DAMPAK BUG)</t>
  </si>
  <si>
    <t xml:space="preserve">Critical</t>
  </si>
  <si>
    <t xml:space="preserve">Kegagalan fatal yang menyebabkan sistem tidak dapat digunakan / kehilangan data / celah keamanan kritikal.</t>
  </si>
  <si>
    <t xml:space="preserve">High</t>
  </si>
  <si>
    <t xml:space="preserve">Fungsi utama tidak berjalan sesuai harapan namun terdapat workaround terbatas.</t>
  </si>
  <si>
    <t xml:space="preserve">Medium</t>
  </si>
  <si>
    <t xml:space="preserve">Fungsi berjalan namun terdapat penyimpangan hasil yang cukup mengganggu.</t>
  </si>
  <si>
    <t xml:space="preserve">Low</t>
  </si>
  <si>
    <t xml:space="preserve">Isu minor, kosmetik, atau tidak berdampak signifikan pada proses bisnis.</t>
  </si>
  <si>
    <t xml:space="preserve">KETERANGAN PRIORITY (PRIORITAS EKSEKUSI PENGUJIAN)</t>
  </si>
  <si>
    <t xml:space="preserve">Test case wajib dieksekusi pada setiap siklus pengujian (core business flow / keamanan).</t>
  </si>
  <si>
    <t xml:space="preserve">Test case penting namun dapat dijadwalkan setelah High Priority selesai.</t>
  </si>
  <si>
    <t xml:space="preserve">Test case pelengkap (edge case) yang dieksekusi bila waktu memungkinkan.</t>
  </si>
  <si>
    <t xml:space="preserve">Catatan: Gunakan sheet 'Summary' untuk ringkasan progres pengujian dan sheet 'Test Cases' untuk detail lengkap seluruh 100 test case.</t>
  </si>
  <si>
    <t xml:space="preserve">RINGKASAN JUMLAH TEST CASE PER MODUL</t>
  </si>
  <si>
    <t xml:space="preserve">No</t>
  </si>
  <si>
    <t xml:space="preserve">Modul / Fitur</t>
  </si>
  <si>
    <t xml:space="preserve">Jumlah Test Case</t>
  </si>
  <si>
    <t xml:space="preserve">Executed</t>
  </si>
  <si>
    <t xml:space="preserve">Passed</t>
  </si>
  <si>
    <t xml:space="preserve">Failed</t>
  </si>
  <si>
    <t xml:space="preserve">Pass Rate</t>
  </si>
  <si>
    <t xml:space="preserve">1</t>
  </si>
  <si>
    <t xml:space="preserve">Authentication</t>
  </si>
  <si>
    <t xml:space="preserve">2</t>
  </si>
  <si>
    <t xml:space="preserve">Produk (Products)</t>
  </si>
  <si>
    <t xml:space="preserve">3</t>
  </si>
  <si>
    <t xml:space="preserve">Pelanggan (Customers)</t>
  </si>
  <si>
    <t xml:space="preserve">4</t>
  </si>
  <si>
    <t xml:space="preserve">Pesanan (Orders)</t>
  </si>
  <si>
    <t xml:space="preserve">5</t>
  </si>
  <si>
    <t xml:space="preserve">Notifikasi</t>
  </si>
  <si>
    <t xml:space="preserve">6</t>
  </si>
  <si>
    <t xml:space="preserve">Dashboard</t>
  </si>
  <si>
    <t xml:space="preserve">7</t>
  </si>
  <si>
    <t xml:space="preserve">Arsip PDF</t>
  </si>
  <si>
    <t xml:space="preserve">8</t>
  </si>
  <si>
    <t xml:space="preserve">User Management</t>
  </si>
  <si>
    <t xml:space="preserve">9</t>
  </si>
  <si>
    <t xml:space="preserve">Chatbot</t>
  </si>
  <si>
    <t xml:space="preserve">TOTAL</t>
  </si>
  <si>
    <t xml:space="preserve">Catatan: Kolom Executed, Passed, Failed, dan Pass Rate terhubung otomatis (formula) ke sheet 'Test Cases' berdasarkan kolom Status. Update kolom Status pada sheet 'Test Cases' untuk memperbarui ringkasan ini.</t>
  </si>
  <si>
    <t xml:space="preserve">HUTCH ID — Website OrderFlow Backend API — Dokumen Test Case (QA-TC-HUTCHID-001)</t>
  </si>
  <si>
    <t xml:space="preserve">Versi 1.0 · 15 Juli 2026 · Disusun oleh Eka Febryanto (QA Engineer) · Status: Draft for Review · Total Test Case: 100</t>
  </si>
  <si>
    <t xml:space="preserve">TC ID</t>
  </si>
  <si>
    <t xml:space="preserve">Test Scenario</t>
  </si>
  <si>
    <t xml:space="preserve">Test Description</t>
  </si>
  <si>
    <t xml:space="preserve">Preconditions</t>
  </si>
  <si>
    <t xml:space="preserve">Test Steps</t>
  </si>
  <si>
    <t xml:space="preserve">Test Data</t>
  </si>
  <si>
    <t xml:space="preserve">Expected Result</t>
  </si>
  <si>
    <t xml:space="preserve">Actual Result</t>
  </si>
  <si>
    <t xml:space="preserve">Status</t>
  </si>
  <si>
    <t xml:space="preserve">Severity</t>
  </si>
  <si>
    <t xml:space="preserve">Priority</t>
  </si>
  <si>
    <t xml:space="preserve">Notes</t>
  </si>
  <si>
    <t xml:space="preserve">TC-AUTH-001</t>
  </si>
  <si>
    <t xml:space="preserve">Login dengan kredensial valid (Admin)</t>
  </si>
  <si>
    <t xml:space="preserve">Memverifikasi user dapat login menggunakan email dan password yang benar serta menerima token autentikasi</t>
  </si>
  <si>
    <t xml:space="preserve">1. API server aktif
2. Akun admin terdaftar di database (admin@hutch.id)</t>
  </si>
  <si>
    <t xml:space="preserve">1. Kirim POST request ke /login
2. Sertakan header Accept: application/json
3. Kirim body email &amp; password valid
4. Amati response</t>
  </si>
  <si>
    <t xml:space="preserve">email: admin@hutch.id
password: password123</t>
  </si>
  <si>
    <t xml:space="preserve">1. Status code 200
2. Response memiliki properti 'user' dan 'token'
3. Token berupa string tidak kosong
4. Object user memiliki id, email, role
5. Field password TIDAK ditampilkan pada response
6. Token tersimpan pada environment variable</t>
  </si>
  <si>
    <t xml:space="preserve">Pass</t>
  </si>
  <si>
    <t xml:space="preserve">Test dasar autentikasi (positive test)</t>
  </si>
  <si>
    <t xml:space="preserve">TC-AUTH-002</t>
  </si>
  <si>
    <t xml:space="preserve">Login dengan password salah</t>
  </si>
  <si>
    <t xml:space="preserve">Memverifikasi sistem menolak login apabila password tidak sesuai dan mengembalikan pesan error yang sesuai</t>
  </si>
  <si>
    <t xml:space="preserve">Akun admin terdaftar di database</t>
  </si>
  <si>
    <t xml:space="preserve">1. Kirim POST request ke /login
2. Isi email valid, password salah
3. Amati response</t>
  </si>
  <si>
    <t xml:space="preserve">email: admin@hutch.id
password: wrong_password</t>
  </si>
  <si>
    <t xml:space="preserve">1. Status code 422
2. Response memiliki properti 'errors'
3. Properti errors.email berisi pesan kredensial tidak valid
4. Token TIDAK diterbitkan</t>
  </si>
  <si>
    <t xml:space="preserve">Negative testing - invalid credentials</t>
  </si>
  <si>
    <t xml:space="preserve">TC-AUTH-003</t>
  </si>
  <si>
    <t xml:space="preserve">Login tanpa mengisi field wajib</t>
  </si>
  <si>
    <t xml:space="preserve">Memverifikasi validasi input pada saat field email dan password tidak diisi (empty body)</t>
  </si>
  <si>
    <t xml:space="preserve">API server aktif</t>
  </si>
  <si>
    <t xml:space="preserve">1. Kirim POST request ke /login
2. Kirim body kosong {}
3. Amati response</t>
  </si>
  <si>
    <t xml:space="preserve">body: {}</t>
  </si>
  <si>
    <t xml:space="preserve">1. Status code 422
2. Response memiliki properti 'errors'
3. Errors mencantumkan field email dan password sebagai required</t>
  </si>
  <si>
    <t xml:space="preserve">Equivalence Partitioning - empty input</t>
  </si>
  <si>
    <t xml:space="preserve">TC-AUTH-004</t>
  </si>
  <si>
    <t xml:space="preserve">Mendapatkan data profil user yang sedang login</t>
  </si>
  <si>
    <t xml:space="preserve">Memverifikasi endpoint profile mengembalikan data user yang sesuai dengan token yang digunakan</t>
  </si>
  <si>
    <t xml:space="preserve">User sudah login dan memiliki auth_token valid</t>
  </si>
  <si>
    <t xml:space="preserve">1. Kirim GET request ke /profile dengan Bearer token
2. Amati response</t>
  </si>
  <si>
    <t xml:space="preserve">Header Authorization: Bearer {{auth_token}}</t>
  </si>
  <si>
    <t xml:space="preserve">1. Status code 200
2. Response berisi id, email, role
3. Field password TIDAK ditampilkan</t>
  </si>
  <si>
    <t xml:space="preserve">-</t>
  </si>
  <si>
    <t xml:space="preserve">TC-AUTH-005</t>
  </si>
  <si>
    <t xml:space="preserve">Mendapatkan data user melalui endpoint Sanctum /user</t>
  </si>
  <si>
    <t xml:space="preserve">Memverifikasi endpoint /user (Laravel Sanctum) mengembalikan data user yang terautentikasi</t>
  </si>
  <si>
    <t xml:space="preserve">1. Kirim GET request ke /user dengan Bearer token
2. Amati response</t>
  </si>
  <si>
    <t xml:space="preserve">1. Status code 200
2. Response berisi id dan email user yang login</t>
  </si>
  <si>
    <t xml:space="preserve">TC-AUTH-006</t>
  </si>
  <si>
    <t xml:space="preserve">Akses endpoint terproteksi tanpa token</t>
  </si>
  <si>
    <t xml:space="preserve">Memverifikasi sistem menolak akses ke resource yang membutuhkan autentikasi apabila token tidak disertakan</t>
  </si>
  <si>
    <t xml:space="preserve">1. Kirim GET request ke /profile TANPA header Authorization
2. Amati response</t>
  </si>
  <si>
    <t xml:space="preserve">Tidak ada token</t>
  </si>
  <si>
    <t xml:space="preserve">1. Status code 401
2. Response memiliki properti 'message' yang menyatakan unauthenticated</t>
  </si>
  <si>
    <t xml:space="preserve">Security testing</t>
  </si>
  <si>
    <t xml:space="preserve">TC-AUTH-007</t>
  </si>
  <si>
    <t xml:space="preserve">Logout user yang sedang login</t>
  </si>
  <si>
    <t xml:space="preserve">Memverifikasi user dapat logout dan token menjadi tidak valid untuk request selanjutnya</t>
  </si>
  <si>
    <t xml:space="preserve">1. Kirim POST request ke /logout dengan Bearer token
2. Amati response
3. Coba akses /profile dengan token yang sama</t>
  </si>
  <si>
    <t xml:space="preserve">1. Status code 200
2. Response message mengandung 'Logged out'
3. Token yang sudah logout tidak dapat dipakai kembali (401 pada request berikutnya)</t>
  </si>
  <si>
    <t xml:space="preserve">1. Status code 200, message 'Logged out' diterima
2. Namun pada langkah verifikasi ke-3, token yang sama masih dapat digunakan untuk mengakses /profile dan mengembalikan status code 200 (seharusnya 401)
3. Token tidak benar-benar di-revoke pada tabel personal_access_tokens</t>
  </si>
  <si>
    <t xml:space="preserve">Fail</t>
  </si>
  <si>
    <t xml:space="preserve">Perlu verifikasi tambahan token revocation</t>
  </si>
  <si>
    <t xml:space="preserve">TC-AUTH-008</t>
  </si>
  <si>
    <t xml:space="preserve">Login dengan format email tidak valid</t>
  </si>
  <si>
    <t xml:space="preserve">Memverifikasi validasi format email pada saat login</t>
  </si>
  <si>
    <t xml:space="preserve">1. Kirim POST request ke /login
2. Isi email dengan format tidak valid
3. Amati response</t>
  </si>
  <si>
    <t xml:space="preserve">email: admin-hutch (tanpa @ dan domain)
password: password123</t>
  </si>
  <si>
    <t xml:space="preserve">1. Status code 422
2. Errors mencantumkan format email tidak valid</t>
  </si>
  <si>
    <t xml:space="preserve">Boundary Value Analysis - format email</t>
  </si>
  <si>
    <t xml:space="preserve">TC-AUTH-009</t>
  </si>
  <si>
    <t xml:space="preserve">Akses dengan token yang sudah kedaluwarsa/expired</t>
  </si>
  <si>
    <t xml:space="preserve">Memverifikasi sistem menolak akses menggunakan token yang sudah expired</t>
  </si>
  <si>
    <t xml:space="preserve">Tersedia token yang sudah kedaluwarsa (expired token)</t>
  </si>
  <si>
    <t xml:space="preserve">1. Kirim GET request ke /profile dengan expired token
2. Amati response</t>
  </si>
  <si>
    <t xml:space="preserve">Header Authorization: Bearer &lt;expired_token&gt;</t>
  </si>
  <si>
    <t xml:space="preserve">1. Status code 401
2. Response message unauthenticated</t>
  </si>
  <si>
    <t xml:space="preserve">Tidak dapat dieksekusi karena data token kedaluwarsa belum tersedia di environment test. Perlu koordinasi dengan tim Dev untuk menyediakan mekanisme generate expired token (misal expiry token dipersingkat di config testing).</t>
  </si>
  <si>
    <t xml:space="preserve">Blocked</t>
  </si>
  <si>
    <t xml:space="preserve">Perlu setup data token kedaluwarsa</t>
  </si>
  <si>
    <t xml:space="preserve">TC-AUTH-010</t>
  </si>
  <si>
    <t xml:space="preserve">Akses dengan token yang dimanipulasi/malformed</t>
  </si>
  <si>
    <t xml:space="preserve">Memverifikasi sistem menolak token yang formatnya tidak valid atau telah dimodifikasi</t>
  </si>
  <si>
    <t xml:space="preserve">1. Kirim GET request ke /profile dengan token acak/tidak valid
2. Amati response</t>
  </si>
  <si>
    <t xml:space="preserve">Header Authorization: Bearer abc123invalidtoken</t>
  </si>
  <si>
    <t xml:space="preserve">Security - token tampering</t>
  </si>
  <si>
    <t xml:space="preserve">TC-AUTH-011</t>
  </si>
  <si>
    <t xml:space="preserve">Login menggunakan payload SQL Injection</t>
  </si>
  <si>
    <t xml:space="preserve">Memverifikasi sistem aman terhadap percobaan SQL Injection pada field login</t>
  </si>
  <si>
    <t xml:space="preserve">1. Kirim POST request ke /login
2. Isi email dengan payload SQL injection
3. Amati response</t>
  </si>
  <si>
    <t xml:space="preserve">email: admin@hutch.id' OR '1'='1
password: ' OR '1'='1</t>
  </si>
  <si>
    <t xml:space="preserve">1. Status code 422 atau 401 (login gagal, bukan bypass)
2. Tidak ada data sensitif yang bocor
3. Sistem tidak mengalami error 500</t>
  </si>
  <si>
    <t xml:space="preserve">Security testing - SQL Injection</t>
  </si>
  <si>
    <t xml:space="preserve">TC-AUTH-012</t>
  </si>
  <si>
    <t xml:space="preserve">Verifikasi role-based access control antar role</t>
  </si>
  <si>
    <t xml:space="preserve">Memverifikasi masing-masing role (administrator, staf_penjualan, operator_gudang, pemilik_umkm) memperoleh hak akses endpoint sesuai otorisasinya</t>
  </si>
  <si>
    <t xml:space="preserve">Tersedia akun untuk tiap role</t>
  </si>
  <si>
    <t xml:space="preserve">1. Login dengan masing-masing role
2. Akses endpoint yang dibatasi (contoh: /users, DELETE /produk)
3. Amati response</t>
  </si>
  <si>
    <t xml:space="preserve">4 akun dengan role berbeda</t>
  </si>
  <si>
    <t xml:space="preserve">1. Role administrator dapat mengakses seluruh endpoint
2. Role lain menerima 403 Forbidden pada endpoint yang tidak diizinkan</t>
  </si>
  <si>
    <t xml:space="preserve">Belum dapat dieksekusi secara menyeluruh karena matrix otorisasi resmi per role belum diterima dari tim Dev/Product. Hanya role administrator yang sempat diverifikasi (hasil sesuai harapan); 3 role lainnya menunggu klarifikasi endpoint yang dibatasi.</t>
  </si>
  <si>
    <t xml:space="preserve">Perlu matrix otorisasi resmi dari tim Dev</t>
  </si>
  <si>
    <t xml:space="preserve">TC-PRD-001</t>
  </si>
  <si>
    <t xml:space="preserve">Menampilkan seluruh daftar produk (publik)</t>
  </si>
  <si>
    <t xml:space="preserve">Memverifikasi endpoint publik dapat menampilkan seluruh data produk tanpa perlu autentikasi</t>
  </si>
  <si>
    <t xml:space="preserve">Terdapat minimal 1 data produk di database</t>
  </si>
  <si>
    <t xml:space="preserve">1. Kirim GET request ke /produk
2. Amati response</t>
  </si>
  <si>
    <t xml:space="preserve">1. Status code 200
2. Response berupa array
3. Tiap produk memiliki id, nama, harga_jual, stok, foto_url</t>
  </si>
  <si>
    <t xml:space="preserve">Public endpoint, tanpa token</t>
  </si>
  <si>
    <t xml:space="preserve">TC-PRD-002</t>
  </si>
  <si>
    <t xml:space="preserve">Menampilkan detail produk berdasarkan ID valid</t>
  </si>
  <si>
    <t xml:space="preserve">Memverifikasi detail produk dapat ditampilkan sesuai ID yang diminta</t>
  </si>
  <si>
    <t xml:space="preserve">Produk dengan ID tertentu tersedia di database</t>
  </si>
  <si>
    <t xml:space="preserve">1. Kirim GET request ke /produk/{id}
2. Amati response</t>
  </si>
  <si>
    <t xml:space="preserve">produk_id valid</t>
  </si>
  <si>
    <t xml:space="preserve">1. Status code 200
2. Response berisi id, nama, harga_jual, stok, keterangan sesuai data produk</t>
  </si>
  <si>
    <t xml:space="preserve">TC-PRD-003</t>
  </si>
  <si>
    <t xml:space="preserve">Menampilkan detail produk dengan ID tidak ditemukan</t>
  </si>
  <si>
    <t xml:space="preserve">Memverifikasi sistem mengembalikan 404 pada saat produk dengan ID tersebut tidak ada</t>
  </si>
  <si>
    <t xml:space="preserve">ID 99999 tidak terdaftar di database</t>
  </si>
  <si>
    <t xml:space="preserve">1. Kirim GET request ke /produk/99999
2. Amati response</t>
  </si>
  <si>
    <t xml:space="preserve">produk_id: 99999</t>
  </si>
  <si>
    <t xml:space="preserve">1. Status code 404
2. Response success = false</t>
  </si>
  <si>
    <t xml:space="preserve">Negative testing</t>
  </si>
  <si>
    <t xml:space="preserve">TC-PRD-004</t>
  </si>
  <si>
    <t xml:space="preserve">Membuat produk baru dengan data valid</t>
  </si>
  <si>
    <t xml:space="preserve">Memverifikasi user dengan hak akses dapat menambahkan produk baru melalui form-data</t>
  </si>
  <si>
    <t xml:space="preserve">User sudah login dengan role yang berwenang</t>
  </si>
  <si>
    <t xml:space="preserve">1. Kirim POST request ke /produk (form-data)
2. Isi nama, harga_jual, keterangan
3. Amati response</t>
  </si>
  <si>
    <t xml:space="preserve">nama: Test Produk QA
harga_jual: 50000
keterangan: Produk untuk testing QA</t>
  </si>
  <si>
    <t xml:space="preserve">1. Status code 201
2. success = true
3. Response mengandung object produk dengan id dan nama sesuai input</t>
  </si>
  <si>
    <t xml:space="preserve">TC-PRD-005</t>
  </si>
  <si>
    <t xml:space="preserve">Membuat produk dengan nama duplikat</t>
  </si>
  <si>
    <t xml:space="preserve">Memverifikasi sistem menolak pembuatan produk dengan nama yang sudah ada (unique constraint)</t>
  </si>
  <si>
    <t xml:space="preserve">Produk dengan nama 'Test Produk QA' sudah ada</t>
  </si>
  <si>
    <t xml:space="preserve">1. Kirim POST request ke /produk dengan nama yang sama
2. Amati response</t>
  </si>
  <si>
    <t xml:space="preserve">nama: Test Produk QA (duplikat)</t>
  </si>
  <si>
    <t xml:space="preserve">1. Status code 422
2. Response memiliki properti 'errors'</t>
  </si>
  <si>
    <t xml:space="preserve">Uniqueness validation</t>
  </si>
  <si>
    <t xml:space="preserve">TC-PRD-006</t>
  </si>
  <si>
    <t xml:space="preserve">Memperbarui data produk</t>
  </si>
  <si>
    <t xml:space="preserve">Memverifikasi produk dapat diperbarui (nama, harga jual, keterangan)</t>
  </si>
  <si>
    <t xml:space="preserve">Produk dengan created_produk_id tersedia</t>
  </si>
  <si>
    <t xml:space="preserve">1. Kirim PUT request ke /produk/{id}
2. Kirim data baru
3. Amati response</t>
  </si>
  <si>
    <t xml:space="preserve">nama: Test Produk QA Updated
harga_jual: 75000</t>
  </si>
  <si>
    <t xml:space="preserve">1. Status code 200
2. success = true
3. Data produk berubah sesuai input</t>
  </si>
  <si>
    <t xml:space="preserve">TC-PRD-007</t>
  </si>
  <si>
    <t xml:space="preserve">Update stok produk (full update)</t>
  </si>
  <si>
    <t xml:space="preserve">Memverifikasi stok produk dapat diperbarui secara penuh beserta keterangan histori perubahan</t>
  </si>
  <si>
    <t xml:space="preserve">Produk tersedia</t>
  </si>
  <si>
    <t xml:space="preserve">1. Kirim POST request ke /produk/{id}/stok
2. Isi stok dan keterangan
3. Amati response</t>
  </si>
  <si>
    <t xml:space="preserve">stok: 100
keterangan: Update stok awal untuk QA testing</t>
  </si>
  <si>
    <t xml:space="preserve">1. Status code 200
2. success = true
3. new_stok = 100</t>
  </si>
  <si>
    <t xml:space="preserve">TC-PRD-008</t>
  </si>
  <si>
    <t xml:space="preserve">Quick update stok produk</t>
  </si>
  <si>
    <t xml:space="preserve">Memverifikasi stok produk dapat diperbarui secara cepat tanpa keterangan tambahan</t>
  </si>
  <si>
    <t xml:space="preserve">1. Kirim PATCH request ke /produk/{id}/stok-quick
2. Isi stok baru
3. Amati response</t>
  </si>
  <si>
    <t xml:space="preserve">stok: 50</t>
  </si>
  <si>
    <t xml:space="preserve">1. Status code 200
2. success = true
3. produk.stok = 50</t>
  </si>
  <si>
    <t xml:space="preserve">TC-PRD-009</t>
  </si>
  <si>
    <t xml:space="preserve">Menghapus produk</t>
  </si>
  <si>
    <t xml:space="preserve">Memverifikasi produk dapat dihapus oleh user berwenang</t>
  </si>
  <si>
    <t xml:space="preserve">Produk (created_produk_id) tersedia dan tidak terikat pesanan aktif</t>
  </si>
  <si>
    <t xml:space="preserve">1. Kirim DELETE request ke /produk/{id}
2. Amati response</t>
  </si>
  <si>
    <t xml:space="preserve">1. Status code 200
2. Response memiliki properti 'message'</t>
  </si>
  <si>
    <t xml:space="preserve">TC-PRD-010</t>
  </si>
  <si>
    <t xml:space="preserve">Membuat produk dengan harga_jual negatif</t>
  </si>
  <si>
    <t xml:space="preserve">Memverifikasi validasi menolak nilai harga_jual negatif</t>
  </si>
  <si>
    <t xml:space="preserve">User sudah login</t>
  </si>
  <si>
    <t xml:space="preserve">1. Kirim POST request ke /produk
2. Isi harga_jual dengan nilai negatif
3. Amati response</t>
  </si>
  <si>
    <t xml:space="preserve">harga_jual: -50000</t>
  </si>
  <si>
    <t xml:space="preserve">1. Status code 422
2. Errors mencantumkan harga_jual harus lebih besar dari 0</t>
  </si>
  <si>
    <t xml:space="preserve">Boundary Value Analysis</t>
  </si>
  <si>
    <t xml:space="preserve">TC-PRD-011</t>
  </si>
  <si>
    <t xml:space="preserve">Membuat produk dengan harga_jual = 0</t>
  </si>
  <si>
    <t xml:space="preserve">Memverifikasi perilaku sistem pada nilai batas (boundary) harga_jual = 0</t>
  </si>
  <si>
    <t xml:space="preserve">1. Kirim POST request ke /produk dengan harga_jual = 0
2. Amati response</t>
  </si>
  <si>
    <t xml:space="preserve">harga_jual: 0</t>
  </si>
  <si>
    <t xml:space="preserve">1. Sistem menolak dengan 422 ATAU menerima sesuai business rule yang berlaku (perlu konfirmasi requirement)</t>
  </si>
  <si>
    <t xml:space="preserve">Business rule terkait harga_jual = 0 belum dikonfirmasi oleh tim Product. Test ditunda sampai ada keputusan apakah harga 0 diperbolehkan (misal untuk produk promosi).</t>
  </si>
  <si>
    <t xml:space="preserve">Boundary Value Analysis - perlu klarifikasi business rule</t>
  </si>
  <si>
    <t xml:space="preserve">TC-PRD-012</t>
  </si>
  <si>
    <t xml:space="preserve">Membuat produk tanpa mengisi nama (field wajib)</t>
  </si>
  <si>
    <t xml:space="preserve">Memverifikasi validasi field nama sebagai required</t>
  </si>
  <si>
    <t xml:space="preserve">1. Kirim POST request ke /produk tanpa field nama
2. Amati response</t>
  </si>
  <si>
    <t xml:space="preserve">nama: (kosong)</t>
  </si>
  <si>
    <t xml:space="preserve">1. Status code 422
2. Errors mencantumkan nama wajib diisi</t>
  </si>
  <si>
    <t xml:space="preserve">Equivalence Partitioning</t>
  </si>
  <si>
    <t xml:space="preserve">TC-PRD-013</t>
  </si>
  <si>
    <t xml:space="preserve">Update stok dengan nilai negatif</t>
  </si>
  <si>
    <t xml:space="preserve">Memverifikasi validasi menolak update stok dengan nilai negatif</t>
  </si>
  <si>
    <t xml:space="preserve">1. Kirim POST request ke /produk/{id}/stok dengan stok negatif
2. Amati response</t>
  </si>
  <si>
    <t xml:space="preserve">stok: -10</t>
  </si>
  <si>
    <t xml:space="preserve">1. Status code 422
2. Errors mencantumkan stok tidak boleh negatif</t>
  </si>
  <si>
    <t xml:space="preserve">TC-PRD-014</t>
  </si>
  <si>
    <t xml:space="preserve">Upload foto produk dengan format file tidak didukung</t>
  </si>
  <si>
    <t xml:space="preserve">Memverifikasi validasi tipe file pada saat upload foto produk (misal .exe / .txt)</t>
  </si>
  <si>
    <t xml:space="preserve">1. Kirim POST request ke /produk (form-data) dengan file foto berformat .txt
2. Amati response</t>
  </si>
  <si>
    <t xml:space="preserve">foto: test.txt</t>
  </si>
  <si>
    <t xml:space="preserve">1. Status code 422
2. Errors mencantumkan format file tidak didukung</t>
  </si>
  <si>
    <t xml:space="preserve">1. Status code 201 diterima (produk berhasil dibuat)
2. File test.txt diterima sebagai foto produk tanpa validasi ekstensi/mime-type
3. Tidak ada pesan error terkait format file yang tidak didukung — validasi tipe file belum diimplementasikan pada backend</t>
  </si>
  <si>
    <t xml:space="preserve">Security &amp; validation - file type</t>
  </si>
  <si>
    <t xml:space="preserve">TC-PRD-015</t>
  </si>
  <si>
    <t xml:space="preserve">Membuat produk dengan input XSS pada field nama</t>
  </si>
  <si>
    <t xml:space="preserve">Memverifikasi sistem melakukan sanitasi input terhadap script injection (XSS)</t>
  </si>
  <si>
    <t xml:space="preserve">1. Kirim POST request ke /produk dengan nama mengandung tag script
2. Amati response dan data tersimpan</t>
  </si>
  <si>
    <t xml:space="preserve">nama: &lt;script&gt;alert('xss')&lt;/script&gt;</t>
  </si>
  <si>
    <t xml:space="preserve">1. Input tersimpan dalam bentuk escaped/sanitized, bukan dieksekusi sebagai script
2. Tidak terjadi error 500</t>
  </si>
  <si>
    <t xml:space="preserve">1. Status code 201, tidak terjadi error 500
2. Namun nilai field 'nama' tersimpan dan dikembalikan apa adanya tanpa proses escaping/sanitasi HTML (raw &lt;script&gt;alert('xss')&lt;/script&gt;)
3. Berpotensi menyebabkan stored XSS apabila ditampilkan langsung di frontend tanpa escaping tambahan pada sisi client</t>
  </si>
  <si>
    <t xml:space="preserve">Security testing - XSS</t>
  </si>
  <si>
    <t xml:space="preserve">TC-PRD-016</t>
  </si>
  <si>
    <t xml:space="preserve">Mengakses produk yang sudah dihapus</t>
  </si>
  <si>
    <t xml:space="preserve">Memverifikasi produk yang telah dihapus tidak lagi dapat diakses melalui endpoint detail</t>
  </si>
  <si>
    <t xml:space="preserve">Produk telah dihapus pada TC-PRD-009</t>
  </si>
  <si>
    <t xml:space="preserve">1. Kirim GET request ke /produk/{deleted_id}
2. Amati response</t>
  </si>
  <si>
    <t xml:space="preserve">produk_id: (ID produk yang sudah dihapus)</t>
  </si>
  <si>
    <t xml:space="preserve">1. Status code 404
2. success = false</t>
  </si>
  <si>
    <t xml:space="preserve">Regression testing</t>
  </si>
  <si>
    <t xml:space="preserve">TC-CUST-001</t>
  </si>
  <si>
    <t xml:space="preserve">Menampilkan seluruh daftar pelanggan</t>
  </si>
  <si>
    <t xml:space="preserve">Memverifikasi seluruh data pelanggan dapat ditampilkan</t>
  </si>
  <si>
    <t xml:space="preserve">Terdapat minimal 1 data pelanggan</t>
  </si>
  <si>
    <t xml:space="preserve">1. Kirim GET request ke /pelanggan
2. Amati response</t>
  </si>
  <si>
    <t xml:space="preserve">1. Status code 200
2. Response array
3. Tiap pelanggan memiliki id, nama, alamat, telepon, pesanan_count</t>
  </si>
  <si>
    <t xml:space="preserve">TC-CUST-002</t>
  </si>
  <si>
    <t xml:space="preserve">Mencari pelanggan menggunakan parameter 'cari'</t>
  </si>
  <si>
    <t xml:space="preserve">Memverifikasi fitur pencarian pelanggan berdasarkan kata kunci</t>
  </si>
  <si>
    <t xml:space="preserve">Terdapat data pelanggan yang relevan dengan kata kunci</t>
  </si>
  <si>
    <t xml:space="preserve">1. Kirim GET request ke /pelanggan?cari=test
2. Amati response</t>
  </si>
  <si>
    <t xml:space="preserve">cari: test</t>
  </si>
  <si>
    <t xml:space="preserve">1. Status code 200
2. Response array berisi data yang relevan dengan kata kunci</t>
  </si>
  <si>
    <t xml:space="preserve">TC-CUST-003</t>
  </si>
  <si>
    <t xml:space="preserve">Membuat data pelanggan baru dengan data lengkap dan valid</t>
  </si>
  <si>
    <t xml:space="preserve">Memverifikasi pelanggan baru dapat dibuat dengan seluruh field terisi benar</t>
  </si>
  <si>
    <t xml:space="preserve">1. Kirim POST request ke /pelanggan
2. Isi nama, alamat, telepon, email
3. Amati response</t>
  </si>
  <si>
    <t xml:space="preserve">nama: Pelanggan QA Test
alamat: Jl. Testing No. 1, Jakarta
telepon: 081234567890
email: qa_test@example.com</t>
  </si>
  <si>
    <t xml:space="preserve">1. Status code 201
2. Response berisi id dan data sesuai input</t>
  </si>
  <si>
    <t xml:space="preserve">TC-CUST-004</t>
  </si>
  <si>
    <t xml:space="preserve">Membuat pelanggan dengan email tidak valid dan field wajib kosong</t>
  </si>
  <si>
    <t xml:space="preserve">Memverifikasi validasi input pada saat email tidak valid dan field wajib lain tidak diisi</t>
  </si>
  <si>
    <t xml:space="preserve">1. Kirim POST request ke /pelanggan hanya dengan email tidak valid
2. Amati response</t>
  </si>
  <si>
    <t xml:space="preserve">email: invalid-email</t>
  </si>
  <si>
    <t xml:space="preserve">1. Status code 422
2. Errors mencantumkan field yang tidak valid/wajib</t>
  </si>
  <si>
    <t xml:space="preserve">TC-CUST-005</t>
  </si>
  <si>
    <t xml:space="preserve">Menampilkan detail pelanggan berdasarkan ID</t>
  </si>
  <si>
    <t xml:space="preserve">Memverifikasi detail data pelanggan dapat ditampilkan sesuai ID</t>
  </si>
  <si>
    <t xml:space="preserve">Pelanggan (created_pelanggan_id) tersedia</t>
  </si>
  <si>
    <t xml:space="preserve">1. Kirim GET request ke /pelanggan/{id}
2. Amati response</t>
  </si>
  <si>
    <t xml:space="preserve">pelanggan_id valid</t>
  </si>
  <si>
    <t xml:space="preserve">1. Status code 200
2. Response berisi id, nama, alamat, telepon</t>
  </si>
  <si>
    <t xml:space="preserve">TC-CUST-006</t>
  </si>
  <si>
    <t xml:space="preserve">Memperbarui data pelanggan</t>
  </si>
  <si>
    <t xml:space="preserve">Memverifikasi data pelanggan dapat diperbarui</t>
  </si>
  <si>
    <t xml:space="preserve">Pelanggan tersedia</t>
  </si>
  <si>
    <t xml:space="preserve">1. Kirim PUT request ke /pelanggan/{id}
2. Kirim data baru
3. Amati response</t>
  </si>
  <si>
    <t xml:space="preserve">nama: Pelanggan QA Updated
alamat: Jl. Testing No. 2, Bandung
telepon: 089876543210</t>
  </si>
  <si>
    <t xml:space="preserve">1. Status code 200
2. Data pelanggan berubah sesuai input</t>
  </si>
  <si>
    <t xml:space="preserve">TC-CUST-007</t>
  </si>
  <si>
    <t xml:space="preserve">Mencari pelanggan melalui endpoint search khusus</t>
  </si>
  <si>
    <t xml:space="preserve">Memverifikasi endpoint /pelanggan/search mengembalikan hasil pencarian yang relevan</t>
  </si>
  <si>
    <t xml:space="preserve">Terdapat data pelanggan yang sesuai kata kunci 'QA'</t>
  </si>
  <si>
    <t xml:space="preserve">1. Kirim GET request ke /pelanggan/search?q=QA
2. Amati response</t>
  </si>
  <si>
    <t xml:space="preserve">q: QA</t>
  </si>
  <si>
    <t xml:space="preserve">1. Status code 200
2. Response array
3. Tiap hasil memiliki id, nama, alamat, telepon</t>
  </si>
  <si>
    <t xml:space="preserve">TC-CUST-008</t>
  </si>
  <si>
    <t xml:space="preserve">Menghapus data pelanggan</t>
  </si>
  <si>
    <t xml:space="preserve">Memverifikasi pelanggan dapat dihapus</t>
  </si>
  <si>
    <t xml:space="preserve">Pelanggan tersedia dan tidak memiliki pesanan aktif yang menghalangi penghapusan</t>
  </si>
  <si>
    <t xml:space="preserve">1. Kirim DELETE request ke /pelanggan/{id}
2. Amati response</t>
  </si>
  <si>
    <t xml:space="preserve">1. Status code 200
2. Message mengandung 'berhasil dihapus'</t>
  </si>
  <si>
    <t xml:space="preserve">TC-CUST-009</t>
  </si>
  <si>
    <t xml:space="preserve">Membuat pelanggan dengan format nomor telepon tidak valid</t>
  </si>
  <si>
    <t xml:space="preserve">Memverifikasi validasi format nomor telepon (misal mengandung huruf)</t>
  </si>
  <si>
    <t xml:space="preserve">1. Kirim POST request ke /pelanggan dengan telepon mengandung huruf
2. Amati response</t>
  </si>
  <si>
    <t xml:space="preserve">telepon: abcxyz123</t>
  </si>
  <si>
    <t xml:space="preserve">1. Status code 422 (jika ada validasi format) atau tersimpan sesuai business rule
2. Perlu konfirmasi requirement validasi telepon</t>
  </si>
  <si>
    <t xml:space="preserve">Requirement validasi format nomor telepon belum didefinisikan secara resmi oleh tim Product. Test ditunda hingga aturan format (misal hanya angka, panjang 10-13 digit) dikonfirmasi.</t>
  </si>
  <si>
    <t xml:space="preserve">Boundary/Format validation - perlu klarifikasi requirement</t>
  </si>
  <si>
    <t xml:space="preserve">TC-CUST-010</t>
  </si>
  <si>
    <t xml:space="preserve">Membuat pelanggan dengan nama melebihi batas maksimal karakter</t>
  </si>
  <si>
    <t xml:space="preserve">Memverifikasi validasi panjang maksimal field nama (boundary value)</t>
  </si>
  <si>
    <t xml:space="preserve">1. Kirim POST request ke /pelanggan dengan nama 300 karakter
2. Amati response</t>
  </si>
  <si>
    <t xml:space="preserve">nama: (string 300 karakter)</t>
  </si>
  <si>
    <t xml:space="preserve">1. Status code 422 jika melebihi batas maksimal (umumnya 255 karakter)
2. Errors mencantumkan validasi max length</t>
  </si>
  <si>
    <t xml:space="preserve">1. Status code 201 diterima (bukan 422)
2. String nama sepanjang 300 karakter berhasil tersimpan tanpa validasi max length
3. Tidak ditemukan constraint/validasi panjang maksimal pada field nama di backend</t>
  </si>
  <si>
    <t xml:space="preserve">TC-CUST-011</t>
  </si>
  <si>
    <t xml:space="preserve">Pencarian pelanggan dengan payload SQL Injection</t>
  </si>
  <si>
    <t xml:space="preserve">Memverifikasi keamanan endpoint pencarian terhadap SQL Injection</t>
  </si>
  <si>
    <t xml:space="preserve">1. Kirim GET request ke /pelanggan/search?q=' OR '1'='1
2. Amati response</t>
  </si>
  <si>
    <t xml:space="preserve">q: ' OR '1'='1</t>
  </si>
  <si>
    <t xml:space="preserve">1. Status code 200 dengan hasil kosong/wajar, atau 400
2. Tidak terjadi error 500 atau kebocoran seluruh data</t>
  </si>
  <si>
    <t xml:space="preserve">TC-CUST-012</t>
  </si>
  <si>
    <t xml:space="preserve">Mengakses detail pelanggan yang tidak ada</t>
  </si>
  <si>
    <t xml:space="preserve">Memverifikasi response 404 pada saat ID pelanggan tidak ditemukan</t>
  </si>
  <si>
    <t xml:space="preserve">ID tidak terdaftar</t>
  </si>
  <si>
    <t xml:space="preserve">1. Kirim GET request ke /pelanggan/99999
2. Amati response</t>
  </si>
  <si>
    <t xml:space="preserve">pelanggan_id: 99999</t>
  </si>
  <si>
    <t xml:space="preserve">1. Status code 404</t>
  </si>
  <si>
    <t xml:space="preserve">TC-CUST-013</t>
  </si>
  <si>
    <t xml:space="preserve">Menghapus pelanggan yang masih memiliki pesanan aktif</t>
  </si>
  <si>
    <t xml:space="preserve">Memverifikasi sistem mencegah penghapusan pelanggan yang masih terkait pesanan aktif (data integrity)</t>
  </si>
  <si>
    <t xml:space="preserve">Pelanggan memiliki minimal 1 pesanan berstatus aktif</t>
  </si>
  <si>
    <t xml:space="preserve">1. Kirim DELETE request ke /pelanggan/{id yang memiliki pesanan}
2. Amati response</t>
  </si>
  <si>
    <t xml:space="preserve">pelanggan_id yang memiliki pesanan aktif</t>
  </si>
  <si>
    <t xml:space="preserve">1. Status code 409/422 (ditolak) atau penghapusan dicegah dengan pesan error yang jelas</t>
  </si>
  <si>
    <t xml:space="preserve">1. Status code 200 diterima, pelanggan berhasil dihapus (seharusnya ditolak dengan 409/422)
2. Pesanan yang sebelumnya terkait pelanggan tersebut menjadi orphan record (pelanggan_id merujuk ke data yang sudah tidak ada)
3. Tidak ada foreign key constraint/validasi referential integrity yang mencegah penghapusan</t>
  </si>
  <si>
    <t xml:space="preserve">Data integrity / referential constraint</t>
  </si>
  <si>
    <t xml:space="preserve">TC-ORD-001</t>
  </si>
  <si>
    <t xml:space="preserve">Menampilkan seluruh daftar pesanan</t>
  </si>
  <si>
    <t xml:space="preserve">Memverifikasi seluruh data pesanan dapat ditampilkan lengkap dengan detail item</t>
  </si>
  <si>
    <t xml:space="preserve">Terdapat minimal 1 data pesanan</t>
  </si>
  <si>
    <t xml:space="preserve">1. Kirim GET request ke /pesanan
2. Amati response</t>
  </si>
  <si>
    <t xml:space="preserve">1. Status code 200
2. Response array
3. Tiap pesanan memiliki id, nomor_po, tanggal_pesanan, tanggal_pengiriman, pelanggan, total_nilai, status, detail_pesanan</t>
  </si>
  <si>
    <t xml:space="preserve">TC-ORD-002</t>
  </si>
  <si>
    <t xml:space="preserve">Filter daftar pesanan berdasarkan status</t>
  </si>
  <si>
    <t xml:space="preserve">Memverifikasi hasil filter pesanan sesuai status yang diminta</t>
  </si>
  <si>
    <t xml:space="preserve">Terdapat pesanan berstatus menunggu_konfirmasi</t>
  </si>
  <si>
    <t xml:space="preserve">1. Kirim GET request ke /pesanan?status=menunggu_konfirmasi
2. Amati response</t>
  </si>
  <si>
    <t xml:space="preserve">status: menunggu_konfirmasi</t>
  </si>
  <si>
    <t xml:space="preserve">1. Status code 200
2. Seluruh hasil memiliki status = menunggu_konfirmasi</t>
  </si>
  <si>
    <t xml:space="preserve">TC-ORD-003</t>
  </si>
  <si>
    <t xml:space="preserve">Mencari pesanan berdasarkan nomor PO</t>
  </si>
  <si>
    <t xml:space="preserve">Memverifikasi fitur pencarian pesanan menggunakan parameter 'cari'</t>
  </si>
  <si>
    <t xml:space="preserve">Terdapat pesanan dengan nomor PO mengandung 'PO-'</t>
  </si>
  <si>
    <t xml:space="preserve">1. Kirim GET request ke /pesanan?cari=PO-
2. Amati response</t>
  </si>
  <si>
    <t xml:space="preserve">cari: PO-</t>
  </si>
  <si>
    <t xml:space="preserve">1. Status code 200
2. Response array berisi pesanan relevan</t>
  </si>
  <si>
    <t xml:space="preserve">TC-ORD-004</t>
  </si>
  <si>
    <t xml:space="preserve">Filter pesanan menggunakan rentang tanggal dan nilai total (advanced filter)</t>
  </si>
  <si>
    <t xml:space="preserve">Memverifikasi kombinasi filter dari-sampai tanggal dan min-max total nilai berfungsi dengan benar</t>
  </si>
  <si>
    <t xml:space="preserve">Terdapat data pesanan dalam rentang tanggal/nilai tersebut</t>
  </si>
  <si>
    <t xml:space="preserve">1. Kirim GET request ke /pesanan dengan parameter dari, sampai, min_total, max_total
2. Amati response</t>
  </si>
  <si>
    <t xml:space="preserve">dari: 2026-01-01
sampai: 2026-12-31
min_total: 10000
max_total: 5000000</t>
  </si>
  <si>
    <t xml:space="preserve">1. Status code 200
2. Response array
3. Seluruh hasil berada dalam rentang tanggal dan nilai yang ditentukan</t>
  </si>
  <si>
    <t xml:space="preserve">Integration test - multiple filter kombinasi</t>
  </si>
  <si>
    <t xml:space="preserve">TC-ORD-005</t>
  </si>
  <si>
    <t xml:space="preserve">Membuat pesanan baru dengan data valid dan item lengkap</t>
  </si>
  <si>
    <t xml:space="preserve">Memverifikasi pesanan baru dapat dibuat lengkap dengan detail item dan status awal menunggu_konfirmasi</t>
  </si>
  <si>
    <t xml:space="preserve">Pelanggan dan produk terkait tersedia serta memiliki stok mencukupi</t>
  </si>
  <si>
    <t xml:space="preserve">1. Kirim POST request ke /pesanan
2. Isi tanggal_pesanan, tanggal_pengiriman, pelanggan_id, items[]
3. Amati response</t>
  </si>
  <si>
    <t xml:space="preserve">tanggal_pesanan: {{today_date}}
tanggal_pengiriman: {{next_week_date}}
pelanggan_id: {{pelanggan_id}}
items: [{produk_id, jumlah:2, spesifikasi:'Warna merah'}]</t>
  </si>
  <si>
    <t xml:space="preserve">1. Status code 201
2. success = true
3. Data berisi id, nomor_po dengan status = menunggu_konfirmasi
4. detail_pesanan berupa array tidak kosong</t>
  </si>
  <si>
    <t xml:space="preserve">Core business flow</t>
  </si>
  <si>
    <t xml:space="preserve">TC-ORD-006</t>
  </si>
  <si>
    <t xml:space="preserve">Membuat pesanan tanpa item (items kosong)</t>
  </si>
  <si>
    <t xml:space="preserve">Memverifikasi validasi menolak pesanan tanpa item produk</t>
  </si>
  <si>
    <t xml:space="preserve">1. Kirim POST request ke /pesanan dengan items: []
2. Amati response</t>
  </si>
  <si>
    <t xml:space="preserve">items: []</t>
  </si>
  <si>
    <t xml:space="preserve">1. Status code 422
2. Errors menyatakan items wajib diisi minimal 1</t>
  </si>
  <si>
    <t xml:space="preserve">TC-ORD-007</t>
  </si>
  <si>
    <t xml:space="preserve">Menampilkan detail pesanan lengkap dengan histori status</t>
  </si>
  <si>
    <t xml:space="preserve">Memverifikasi detail pesanan menampilkan seluruh informasi termasuk histori_status</t>
  </si>
  <si>
    <t xml:space="preserve">Pesanan tersedia</t>
  </si>
  <si>
    <t xml:space="preserve">1. Kirim GET request ke /pesanan/{id}
2. Amati response</t>
  </si>
  <si>
    <t xml:space="preserve">pesanan_id valid</t>
  </si>
  <si>
    <t xml:space="preserve">1. Status code 200
2. data berisi id, nomor_po, pelanggan, detail_pesanan, histori_status, status, total_nilai
3. histori_status berupa array tidak kosong (minimal 1 entri saat pesanan dibuat)</t>
  </si>
  <si>
    <t xml:space="preserve">TC-ORD-008</t>
  </si>
  <si>
    <t xml:space="preserve">Memperbarui data pesanan (tanggal pengiriman &amp; catatan)</t>
  </si>
  <si>
    <t xml:space="preserve">Memverifikasi data pesanan seperti tanggal pengiriman dan catatan dapat diperbarui</t>
  </si>
  <si>
    <t xml:space="preserve">Pesanan tersedia dan belum berstatus selesai/dibatalkan</t>
  </si>
  <si>
    <t xml:space="preserve">1. Kirim PUT request ke /pesanan/{id}
2. Kirim tanggal_pengiriman &amp; catatan baru
3. Amati response</t>
  </si>
  <si>
    <t xml:space="preserve">tanggal_pengiriman: {{next_week_date}}
catatan: Catatan diperbarui via Postman QA</t>
  </si>
  <si>
    <t xml:space="preserve">1. Status code 200
2. success = true
3. data.catatan sesuai input</t>
  </si>
  <si>
    <t xml:space="preserve">TC-ORD-009</t>
  </si>
  <si>
    <t xml:space="preserve">Update status pesanan: menunggu_konfirmasi -&gt; dikonfirmasi</t>
  </si>
  <si>
    <t xml:space="preserve">Memverifikasi transisi status pesanan sesuai alur bisnis yang benar (forward flow)</t>
  </si>
  <si>
    <t xml:space="preserve">Pesanan berstatus menunggu_konfirmasi</t>
  </si>
  <si>
    <t xml:space="preserve">1. Kirim PATCH request ke /pesanan/{id}/status
2. Kirim status: dikonfirmasi
3. Amati response</t>
  </si>
  <si>
    <t xml:space="preserve">status: dikonfirmasi
keterangan: Dikonfirmasi via Postman QA</t>
  </si>
  <si>
    <t xml:space="preserve">1. Status code 200
2. success = true
3. Status pesanan berubah menjadi dikonfirmasi
4. histori_status bertambah 1 entri baru</t>
  </si>
  <si>
    <t xml:space="preserve">State machine testing</t>
  </si>
  <si>
    <t xml:space="preserve">TC-ORD-010</t>
  </si>
  <si>
    <t xml:space="preserve">Update status pesanan: dikonfirmasi -&gt; dalam_produksi</t>
  </si>
  <si>
    <t xml:space="preserve">Memverifikasi transisi status lanjutan sesuai alur bisnis</t>
  </si>
  <si>
    <t xml:space="preserve">Pesanan berstatus dikonfirmasi</t>
  </si>
  <si>
    <t xml:space="preserve">1. Kirim PATCH request ke /pesanan/{id}/status
2. Kirim status: dalam_produksi
3. Amati response</t>
  </si>
  <si>
    <t xml:space="preserve">status: dalam_produksi</t>
  </si>
  <si>
    <t xml:space="preserve">1. Status code 200
2. Status berubah menjadi dalam_produksi</t>
  </si>
  <si>
    <t xml:space="preserve">TC-ORD-011</t>
  </si>
  <si>
    <t xml:space="preserve">Update status pesanan: dalam_produksi -&gt; siap_kirim</t>
  </si>
  <si>
    <t xml:space="preserve">Memverifikasi transisi status pesanan menjadi siap_kirim</t>
  </si>
  <si>
    <t xml:space="preserve">Pesanan berstatus dalam_produksi</t>
  </si>
  <si>
    <t xml:space="preserve">1. Kirim PATCH request ke /pesanan/{id}/status
2. Kirim status: siap_kirim
3. Amati response</t>
  </si>
  <si>
    <t xml:space="preserve">status: siap_kirim</t>
  </si>
  <si>
    <t xml:space="preserve">1. Status code 200
2. Status berubah menjadi siap_kirim</t>
  </si>
  <si>
    <t xml:space="preserve">TC-ORD-012</t>
  </si>
  <si>
    <t xml:space="preserve">Update status pesanan: siap_kirim -&gt; selesai</t>
  </si>
  <si>
    <t xml:space="preserve">Memverifikasi pesanan dapat diselesaikan (final state) dan otomatis masuk ke arsip</t>
  </si>
  <si>
    <t xml:space="preserve">Pesanan berstatus siap_kirim</t>
  </si>
  <si>
    <t xml:space="preserve">1. Kirim PATCH request ke /pesanan/{id}/status
2. Kirim status: selesai
3. Amati response
4. Cek endpoint /arsip-pdf</t>
  </si>
  <si>
    <t xml:space="preserve">status: selesai</t>
  </si>
  <si>
    <t xml:space="preserve">1. Status code 200
2. Status berubah menjadi selesai
3. Pesanan muncul pada daftar arsip PDF</t>
  </si>
  <si>
    <t xml:space="preserve">Integration test lintas modul (Pesanan -&gt; Arsip)</t>
  </si>
  <si>
    <t xml:space="preserve">TC-ORD-013</t>
  </si>
  <si>
    <t xml:space="preserve">Membatalkan pesanan dari status manapun (kecuali selesai/dibatalkan)</t>
  </si>
  <si>
    <t xml:space="preserve">Memverifikasi pesanan dapat dibatalkan beserta alasan pembatalan</t>
  </si>
  <si>
    <t xml:space="preserve">Pesanan berstatus aktif (bukan selesai/dibatalkan)</t>
  </si>
  <si>
    <t xml:space="preserve">1. Kirim PATCH request ke /pesanan/{id}/status
2. Kirim status: dibatalkan beserta alasan_pembatalan
3. Amati response</t>
  </si>
  <si>
    <t xml:space="preserve">status: dibatalkan
alasan_pembatalan: Testing pembatalan pesanan via QA</t>
  </si>
  <si>
    <t xml:space="preserve">1. Status code 200
2. Status berubah menjadi dibatalkan</t>
  </si>
  <si>
    <t xml:space="preserve">TC-ORD-014</t>
  </si>
  <si>
    <t xml:space="preserve">Update status dengan transisi tidak valid (skip step)</t>
  </si>
  <si>
    <t xml:space="preserve">Memverifikasi sistem menolak perubahan status yang melompati alur (contoh: langsung ke selesai dari menunggu_konfirmasi)</t>
  </si>
  <si>
    <t xml:space="preserve">1. Kirim PATCH request ke /pesanan/{id}/status
2. Kirim status: selesai (skip semua step)
3. Amati response</t>
  </si>
  <si>
    <t xml:space="preserve">1. Status code 422 atau 403
2. Status pesanan TIDAK berubah</t>
  </si>
  <si>
    <t xml:space="preserve">1. Status code 200 diterima (seharusnya 422/403)
2. Status pesanan berhasil berubah langsung dari menunggu_konfirmasi menjadi selesai, melompati seluruh tahapan alur bisnis (dikonfirmasi, dalam_produksi, siap_kirim)
3. Tidak ditemukan validasi state machine pada endpoint update status</t>
  </si>
  <si>
    <t xml:space="preserve">Negative testing - state machine violation</t>
  </si>
  <si>
    <t xml:space="preserve">TC-ORD-015</t>
  </si>
  <si>
    <t xml:space="preserve">Mengubah status pesanan yang sudah selesai/dibatalkan (final state)</t>
  </si>
  <si>
    <t xml:space="preserve">Memverifikasi pesanan pada status final tidak dapat diubah kembali</t>
  </si>
  <si>
    <t xml:space="preserve">Pesanan berstatus selesai atau dibatalkan</t>
  </si>
  <si>
    <t xml:space="preserve">1. Kirim PATCH request ke /pesanan/{id}/status dengan status baru
2. Amati response</t>
  </si>
  <si>
    <t xml:space="preserve">status: dikonfirmasi (pada pesanan yang sudah selesai)</t>
  </si>
  <si>
    <t xml:space="preserve">1. Status code 422 atau 403
2. Status pesanan tetap tidak berubah</t>
  </si>
  <si>
    <t xml:space="preserve">Negative testing - final state protection</t>
  </si>
  <si>
    <t xml:space="preserve">TC-ORD-016</t>
  </si>
  <si>
    <t xml:space="preserve">Mengunduh dokumen PDF pesanan</t>
  </si>
  <si>
    <t xml:space="preserve">Memverifikasi dokumen PDF pesanan (Purchase Order) dapat diunduh dalam format base64</t>
  </si>
  <si>
    <t xml:space="preserve">1. Kirim GET request ke /pesanan/{id}/pdf
2. Amati response</t>
  </si>
  <si>
    <t xml:space="preserve">1. Status code 200
2. success = true
3. Response mengandung properti 'pdf' dan 'filename'</t>
  </si>
  <si>
    <t xml:space="preserve">TC-ORD-017</t>
  </si>
  <si>
    <t xml:space="preserve">Menghapus data pesanan</t>
  </si>
  <si>
    <t xml:space="preserve">Memverifikasi pesanan dapat dihapus oleh user berwenang</t>
  </si>
  <si>
    <t xml:space="preserve">Pesanan (created_pesanan_id) tersedia</t>
  </si>
  <si>
    <t xml:space="preserve">1. Kirim DELETE request ke /pesanan/{id}
2. Amati response</t>
  </si>
  <si>
    <t xml:space="preserve">1. Status code 200
2. success = true
3. message mengandung 'berhasil dihapus'</t>
  </si>
  <si>
    <t xml:space="preserve">TC-ORD-018</t>
  </si>
  <si>
    <t xml:space="preserve">Membuat pesanan dengan jumlah item melebihi stok tersedia</t>
  </si>
  <si>
    <t xml:space="preserve">Memverifikasi perilaku sistem saat jumlah pesanan melebihi stok produk (harus trigger notifikasi stok kurang atau ditolak)</t>
  </si>
  <si>
    <t xml:space="preserve">Produk memiliki stok terbatas (contoh: stok = 5)</t>
  </si>
  <si>
    <t xml:space="preserve">1. Kirim POST request ke /pesanan dengan jumlah item &gt; stok tersedia
2. Amati response</t>
  </si>
  <si>
    <t xml:space="preserve">items: [{produk_id, jumlah: 100}] (stok hanya 5)
send_shortage_notification: true</t>
  </si>
  <si>
    <t xml:space="preserve">1. Pesanan tetap dapat dibuat (status 201) dengan notifikasi stok kurang terkirim, ATAU ditolak sesuai business rule
2. Perlu klarifikasi requirement dari tim Dev/Product</t>
  </si>
  <si>
    <t xml:space="preserve">Business rule terkait perilaku sistem saat jumlah pesanan melebihi stok belum dikonfirmasi oleh tim Dev/Product (apakah pesanan tetap dibuat dengan notifikasi, atau ditolak sepenuhnya). Test ditunda menunggu klarifikasi.</t>
  </si>
  <si>
    <t xml:space="preserve">Boundary Value Analysis - perlu konfirmasi business rule</t>
  </si>
  <si>
    <t xml:space="preserve">TC-ORD-019</t>
  </si>
  <si>
    <t xml:space="preserve">Membuat pesanan dengan pelanggan_id tidak valid/tidak ada</t>
  </si>
  <si>
    <t xml:space="preserve">Memverifikasi validasi referential integrity pada pelanggan_id</t>
  </si>
  <si>
    <t xml:space="preserve">1. Kirim POST request ke /pesanan dengan pelanggan_id = 99999
2. Amati response</t>
  </si>
  <si>
    <t xml:space="preserve">1. Status code 422
2. Errors menyatakan pelanggan_id tidak ditemukan</t>
  </si>
  <si>
    <t xml:space="preserve">TC-ORD-020</t>
  </si>
  <si>
    <t xml:space="preserve">Membuat pesanan dengan produk_id tidak valid/tidak ada</t>
  </si>
  <si>
    <t xml:space="preserve">Memverifikasi validasi referential integrity pada produk_id di dalam items</t>
  </si>
  <si>
    <t xml:space="preserve">1. Kirim POST request ke /pesanan dengan produk_id = 99999 pada items
2. Amati response</t>
  </si>
  <si>
    <t xml:space="preserve">items: [{produk_id: 99999, jumlah: 1}]</t>
  </si>
  <si>
    <t xml:space="preserve">1. Status code 422
2. Errors menyatakan produk_id tidak ditemukan</t>
  </si>
  <si>
    <t xml:space="preserve">TC-ORD-021</t>
  </si>
  <si>
    <t xml:space="preserve">Membuat pesanan dengan jumlah item = 0 atau negatif</t>
  </si>
  <si>
    <t xml:space="preserve">Memverifikasi validasi boundary pada field jumlah item pesanan</t>
  </si>
  <si>
    <t xml:space="preserve">1. Kirim POST request ke /pesanan dengan jumlah = 0 dan jumlah = -1
2. Amati response</t>
  </si>
  <si>
    <t xml:space="preserve">items: [{jumlah: 0}] dan [{jumlah: -1}]</t>
  </si>
  <si>
    <t xml:space="preserve">1. Status code 422 untuk kedua kasus
2. Errors menyatakan jumlah harus lebih besar dari 0</t>
  </si>
  <si>
    <t xml:space="preserve">TC-ORD-022</t>
  </si>
  <si>
    <t xml:space="preserve">Membuat pesanan dengan tanggal_pengiriman lebih awal dari tanggal_pesanan</t>
  </si>
  <si>
    <t xml:space="preserve">Memverifikasi validasi logika bisnis: tanggal pengiriman tidak boleh mendahului tanggal pesanan</t>
  </si>
  <si>
    <t xml:space="preserve">1. Kirim POST request ke /pesanan dengan tanggal_pengiriman &lt; tanggal_pesanan
2. Amati response</t>
  </si>
  <si>
    <t xml:space="preserve">tanggal_pesanan: 2026-07-20
tanggal_pengiriman: 2026-07-10</t>
  </si>
  <si>
    <t xml:space="preserve">1. Status code 422
2. Errors menyatakan tanggal pengiriman tidak valid</t>
  </si>
  <si>
    <t xml:space="preserve">1. Status code 201 diterima (seharusnya 422)
2. Pesanan berhasil dibuat meskipun tanggal_pengiriman (2026-07-10) lebih awal dari tanggal_pesanan (2026-07-20)
3. Validasi logika bisnis pada tanggal pengiriman belum diimplementasikan</t>
  </si>
  <si>
    <t xml:space="preserve">Business logic validation</t>
  </si>
  <si>
    <t xml:space="preserve">TC-ORD-023</t>
  </si>
  <si>
    <t xml:space="preserve">Filter pesanan dengan rentang nilai total tidak logis (min &gt; max)</t>
  </si>
  <si>
    <t xml:space="preserve">Memverifikasi perilaku sistem saat parameter filter min_total lebih besar dari max_total</t>
  </si>
  <si>
    <t xml:space="preserve">1. Kirim GET request ke /pesanan?min_total=5000000&amp;max_total=10000
2. Amati response</t>
  </si>
  <si>
    <t xml:space="preserve">min_total: 5000000
max_total: 10000</t>
  </si>
  <si>
    <t xml:space="preserve">1. Status code 200 dengan hasil array kosong, atau 422 dengan pesan validasi
2. Tidak terjadi error 500</t>
  </si>
  <si>
    <t xml:space="preserve">1. Response mengembalikan status code 500 Internal Server Error saat min_total &gt; max_total
2. Seharusnya sistem mengembalikan array kosong (200) atau pesan validasi (422), bukan error server
3. Kemungkinan query filter tidak menangani kondisi rentang nilai yang tidak logis</t>
  </si>
  <si>
    <t xml:space="preserve">Boundary/Edge case</t>
  </si>
  <si>
    <t xml:space="preserve">TC-ORD-024</t>
  </si>
  <si>
    <t xml:space="preserve">Regression - alur end-to-end pesanan dari pembuatan hingga arsip</t>
  </si>
  <si>
    <t xml:space="preserve">Memverifikasi keseluruhan alur bisnis pesanan berjalan konsisten dari awal hingga akhir (regression test)</t>
  </si>
  <si>
    <t xml:space="preserve">Data pelanggan dan produk tersedia</t>
  </si>
  <si>
    <t xml:space="preserve">1. Buat pesanan baru
2. Update status berurutan: dikonfirmasi -&gt; dalam_produksi -&gt; siap_kirim -&gt; selesai
3. Verifikasi data pada endpoint Arsip PDF
4. Verifikasi data pada Dashboard berubah sesuai</t>
  </si>
  <si>
    <t xml:space="preserve">Data pesanan end-to-end</t>
  </si>
  <si>
    <t xml:space="preserve">1. Setiap transisi status berhasil (200)
2. Pesanan selesai otomatis tercatat di Arsip PDF
3. Statistik Dashboard (total_selesai_bulan_ini, nilai_selesai_bulan_ini) ter-update</t>
  </si>
  <si>
    <t xml:space="preserve">Regression / Integration test lintas modul</t>
  </si>
  <si>
    <t xml:space="preserve">TC-NOTIF-001</t>
  </si>
  <si>
    <t xml:space="preserve">Menampilkan seluruh daftar notifikasi</t>
  </si>
  <si>
    <t xml:space="preserve">Memverifikasi seluruh notifikasi user dapat ditampilkan</t>
  </si>
  <si>
    <t xml:space="preserve">Terdapat minimal 1 notifikasi</t>
  </si>
  <si>
    <t xml:space="preserve">1. Kirim GET request ke /notifikasi
2. Amati response</t>
  </si>
  <si>
    <t xml:space="preserve">1. Status code 200
2. Response array
3. Tiap notifikasi memiliki id, judul, pesan, tipe</t>
  </si>
  <si>
    <t xml:space="preserve">TC-NOTIF-002</t>
  </si>
  <si>
    <t xml:space="preserve">Menampilkan notifikasi yang belum dibaca saja</t>
  </si>
  <si>
    <t xml:space="preserve">Memverifikasi filter notifikasi unread berfungsi dengan benar</t>
  </si>
  <si>
    <t xml:space="preserve">Terdapat notifikasi unread dan sudah dibaca</t>
  </si>
  <si>
    <t xml:space="preserve">1. Kirim GET request ke /notifikasi?filter=unread
2. Amati response</t>
  </si>
  <si>
    <t xml:space="preserve">filter: unread</t>
  </si>
  <si>
    <t xml:space="preserve">1. Status code 200
2. Seluruh hasil memiliki dibaca_at = null</t>
  </si>
  <si>
    <t xml:space="preserve">TC-NOTIF-003</t>
  </si>
  <si>
    <t xml:space="preserve">Menampilkan notifikasi dengan limit tertentu</t>
  </si>
  <si>
    <t xml:space="preserve">Memverifikasi parameter limit membatasi jumlah hasil yang dikembalikan</t>
  </si>
  <si>
    <t xml:space="preserve">Terdapat lebih dari 5 notifikasi</t>
  </si>
  <si>
    <t xml:space="preserve">1. Kirim GET request ke /notifikasi?limit=5
2. Amati response</t>
  </si>
  <si>
    <t xml:space="preserve">limit: 5</t>
  </si>
  <si>
    <t xml:space="preserve">1. Status code 200
2. Jumlah hasil maksimal 5 item</t>
  </si>
  <si>
    <t xml:space="preserve">1. Status code 200 diterima
2. Parameter limit=5 tidak berpengaruh — seluruh data notifikasi (lebih dari 5 item) tetap dikembalikan
3. Parameter limit belum diimplementasikan pada endpoint /notifikasi</t>
  </si>
  <si>
    <t xml:space="preserve">TC-NOTIF-004</t>
  </si>
  <si>
    <t xml:space="preserve">Menandai satu notifikasi sebagai sudah dibaca</t>
  </si>
  <si>
    <t xml:space="preserve">Memverifikasi status baca notifikasi dapat diubah menjadi telah dibaca</t>
  </si>
  <si>
    <t xml:space="preserve">Notifikasi dengan status unread tersedia</t>
  </si>
  <si>
    <t xml:space="preserve">1. Kirim PATCH request ke /notifikasi/{id}/baca
2. Amati response</t>
  </si>
  <si>
    <t xml:space="preserve">notifikasi_id valid</t>
  </si>
  <si>
    <t xml:space="preserve">1. Status code 200
2. success = true
3. dibaca_at terisi timestamp</t>
  </si>
  <si>
    <t xml:space="preserve">TC-NOTIF-005</t>
  </si>
  <si>
    <t xml:space="preserve">Menandai seluruh notifikasi sebagai sudah dibaca</t>
  </si>
  <si>
    <t xml:space="preserve">Memverifikasi seluruh notifikasi unread dapat ditandai dibaca sekaligus</t>
  </si>
  <si>
    <t xml:space="preserve">Terdapat beberapa notifikasi unread</t>
  </si>
  <si>
    <t xml:space="preserve">1. Kirim PATCH request ke /notifikasi/tandai-semua-dibaca
2. Amati response
3. Verifikasi ulang dengan GET /notifikasi?filter=unread</t>
  </si>
  <si>
    <t xml:space="preserve">1. Status code 200
2. success = true
3. Filter unread selanjutnya mengembalikan array kosong</t>
  </si>
  <si>
    <t xml:space="preserve">TC-NOTIF-006</t>
  </si>
  <si>
    <t xml:space="preserve">Membuat notifikasi stok kurang (draft)</t>
  </si>
  <si>
    <t xml:space="preserve">Memverifikasi sistem dapat membuat notifikasi otomatis terkait kekurangan stok</t>
  </si>
  <si>
    <t xml:space="preserve">1. Kirim POST request ke /notifikasi/stok-kurang
2. Kirim nomor_po dan detail_kurang
3. Amati response</t>
  </si>
  <si>
    <t xml:space="preserve">nomor_po: PO-TEST-001
detail_kurang: [{nama_produk, stok_tersedia:5, kebutuhan:20, kurang:15}]</t>
  </si>
  <si>
    <t xml:space="preserve">1. Status code 200
2. success = true
3. Response memiliki notifikasi_id</t>
  </si>
  <si>
    <t xml:space="preserve">TC-NOTIF-007</t>
  </si>
  <si>
    <t xml:space="preserve">Menghapus notifikasi</t>
  </si>
  <si>
    <t xml:space="preserve">Memverifikasi notifikasi dapat dihapus</t>
  </si>
  <si>
    <t xml:space="preserve">Notifikasi tersedia</t>
  </si>
  <si>
    <t xml:space="preserve">1. Kirim DELETE request ke /notifikasi/{id}
2. Amati response</t>
  </si>
  <si>
    <t xml:space="preserve">1. Status code 200
2. success = true</t>
  </si>
  <si>
    <t xml:space="preserve">TC-NOTIF-008</t>
  </si>
  <si>
    <t xml:space="preserve">Menandai notifikasi yang sudah dibaca sebagai dibaca kembali (idempotency)</t>
  </si>
  <si>
    <t xml:space="preserve">Memverifikasi perilaku sistem saat menandai notifikasi yang sudah berstatus dibaca sebelumnya</t>
  </si>
  <si>
    <t xml:space="preserve">Notifikasi sudah berstatus dibaca</t>
  </si>
  <si>
    <t xml:space="preserve">1. Kirim PATCH request ke /notifikasi/{id}/baca (kedua kali)
2. Amati response</t>
  </si>
  <si>
    <t xml:space="preserve">notifikasi_id yang sudah dibaca</t>
  </si>
  <si>
    <t xml:space="preserve">1. Status code 200 (idempotent, tidak error)
2. dibaca_at tidak berubah dari timestamp pertama</t>
  </si>
  <si>
    <t xml:space="preserve">1. Status code 200 diterima, tidak terjadi error
2. Namun nilai dibaca_at berubah menjadi timestamp baru pada setiap pemanggilan berulang (seharusnya tetap pada timestamp pertama kali dibaca)
3. Operasi tidak sepenuhnya idempotent</t>
  </si>
  <si>
    <t xml:space="preserve">Idempotency testing</t>
  </si>
  <si>
    <t xml:space="preserve">TC-NOTIF-009</t>
  </si>
  <si>
    <t xml:space="preserve">Menghapus notifikasi dengan ID tidak ditemukan</t>
  </si>
  <si>
    <t xml:space="preserve">Memverifikasi sistem mengembalikan error yang sesuai saat notifikasi tidak ditemukan</t>
  </si>
  <si>
    <t xml:space="preserve">1. Kirim DELETE request ke /notifikasi/99999
2. Amati response</t>
  </si>
  <si>
    <t xml:space="preserve">notifikasi_id: 99999</t>
  </si>
  <si>
    <t xml:space="preserve">TC-DASH-001</t>
  </si>
  <si>
    <t xml:space="preserve">Menampilkan data statistik dashboard</t>
  </si>
  <si>
    <t xml:space="preserve">Memverifikasi dashboard menampilkan seluruh statistik yang dibutuhkan secara akurat</t>
  </si>
  <si>
    <t xml:space="preserve">Terdapat data pesanan pada sistem</t>
  </si>
  <si>
    <t xml:space="preserve">1. Kirim GET request ke /dashboard
2. Amati response</t>
  </si>
  <si>
    <t xml:space="preserve">1. Status code 200
2. Response berisi total_aktif, total_menunggu, total_siap_kirim, total_selesai_bulan_ini, nilai_selesai_bulan_ini
3. Seluruh nilai bertipe number</t>
  </si>
  <si>
    <t xml:space="preserve">TC-DASH-002</t>
  </si>
  <si>
    <t xml:space="preserve">Mengakses dashboard tanpa autentikasi</t>
  </si>
  <si>
    <t xml:space="preserve">Memverifikasi endpoint dashboard terproteksi dan membutuhkan token</t>
  </si>
  <si>
    <t xml:space="preserve">1. Kirim GET request ke /dashboard tanpa token
2. Amati response</t>
  </si>
  <si>
    <t xml:space="preserve">1. Status code 401</t>
  </si>
  <si>
    <t xml:space="preserve">TC-DASH-003</t>
  </si>
  <si>
    <t xml:space="preserve">Menampilkan dashboard pada kondisi tidak ada data pesanan</t>
  </si>
  <si>
    <t xml:space="preserve">Memverifikasi dashboard tetap menampilkan nilai 0 (bukan error) saat data kosong</t>
  </si>
  <si>
    <t xml:space="preserve">Database dalam kondisi kosong/fresh (test environment terisolasi)</t>
  </si>
  <si>
    <t xml:space="preserve">1. Kirim GET request ke /dashboard pada data kosong
2. Amati response</t>
  </si>
  <si>
    <t xml:space="preserve">1. Status code 200
2. Seluruh statistik bernilai 0, tidak terjadi error null/undefined</t>
  </si>
  <si>
    <t xml:space="preserve">1. Status code 200 diterima
2. Field total_aktif, total_menunggu, total_siap_kirim bernilai 0 sesuai harapan
3. Namun field nilai_selesai_bulan_ini mengembalikan null (bukan 0) saat tidak ada data pesanan, berpotensi menyebabkan error pada sisi frontend saat melakukan formatting angka</t>
  </si>
  <si>
    <t xml:space="preserve">Edge case testing</t>
  </si>
  <si>
    <t xml:space="preserve">TC-ARSP-001</t>
  </si>
  <si>
    <t xml:space="preserve">Menampilkan daftar arsip pesanan (selesai/dibatalkan)</t>
  </si>
  <si>
    <t xml:space="preserve">Memverifikasi daftar arsip hanya menampilkan pesanan berstatus selesai atau dibatalkan</t>
  </si>
  <si>
    <t xml:space="preserve">Terdapat pesanan berstatus selesai/dibatalkan</t>
  </si>
  <si>
    <t xml:space="preserve">1. Kirim GET request ke /arsip-pdf
2. Amati response</t>
  </si>
  <si>
    <t xml:space="preserve">1. Status code 200
2. Response array
3. Tiap item memiliki status 'selesai' atau 'dibatalkan'</t>
  </si>
  <si>
    <t xml:space="preserve">TC-ARSP-002</t>
  </si>
  <si>
    <t xml:space="preserve">Filter daftar arsip berdasarkan status selesai</t>
  </si>
  <si>
    <t xml:space="preserve">Memverifikasi filter status pada endpoint arsip berfungsi dengan benar</t>
  </si>
  <si>
    <t xml:space="preserve">Terdapat data arsip dengan status selesai</t>
  </si>
  <si>
    <t xml:space="preserve">1. Kirim GET request ke /arsip-pdf?status=selesai
2. Amati response</t>
  </si>
  <si>
    <t xml:space="preserve">1. Status code 200
2. Seluruh hasil memiliki status = selesai</t>
  </si>
  <si>
    <t xml:space="preserve">1. Status code 200 diterima
2. Hasil yang dikembalikan masih mencampur data dengan status 'dibatalkan', tidak hanya status 'selesai' sesuai parameter filter yang dikirim
3. Filter status pada endpoint /arsip-pdf tidak diterapkan dengan benar pada query</t>
  </si>
  <si>
    <t xml:space="preserve">TC-ARSP-003</t>
  </si>
  <si>
    <t xml:space="preserve">Menampilkan detail arsip berdasarkan ID</t>
  </si>
  <si>
    <t xml:space="preserve">Memverifikasi detail arsip dapat ditampilkan sesuai ID</t>
  </si>
  <si>
    <t xml:space="preserve">Arsip (arsip_id) tersedia</t>
  </si>
  <si>
    <t xml:space="preserve">1. Kirim GET request ke /arsip-pdf/{id}
2. Amati response</t>
  </si>
  <si>
    <t xml:space="preserve">arsip_id valid</t>
  </si>
  <si>
    <t xml:space="preserve">1. Status code 200
2. Response berisi id, nomor_po, status</t>
  </si>
  <si>
    <t xml:space="preserve">TC-ARSP-004</t>
  </si>
  <si>
    <t xml:space="preserve">Menampilkan detail arsip dengan ID tidak ditemukan</t>
  </si>
  <si>
    <t xml:space="preserve">Memverifikasi response 404 pada saat arsip tidak ditemukan</t>
  </si>
  <si>
    <t xml:space="preserve">ID 99999 tidak terdaftar</t>
  </si>
  <si>
    <t xml:space="preserve">1. Kirim GET request ke /arsip-pdf/99999
2. Amati response</t>
  </si>
  <si>
    <t xml:space="preserve">arsip_id: 99999</t>
  </si>
  <si>
    <t xml:space="preserve">1. Status code 404
2. message mengandung 'tidak ditemukan'</t>
  </si>
  <si>
    <t xml:space="preserve">TC-ARSP-005</t>
  </si>
  <si>
    <t xml:space="preserve">Mengunduh dokumen PDF arsip</t>
  </si>
  <si>
    <t xml:space="preserve">Memverifikasi dokumen PDF arsip dapat diunduh dalam format base64</t>
  </si>
  <si>
    <t xml:space="preserve">Arsip tersedia</t>
  </si>
  <si>
    <t xml:space="preserve">1. Kirim GET request ke /arsip-pdf/{id}/pdf
2. Amati response</t>
  </si>
  <si>
    <t xml:space="preserve">1. Status code 200
2. success = true
3. Response berisi pdf, filename, nomor_po</t>
  </si>
  <si>
    <t xml:space="preserve">TC-ARSP-006</t>
  </si>
  <si>
    <t xml:space="preserve">Menghapus data arsip</t>
  </si>
  <si>
    <t xml:space="preserve">Memverifikasi arsip dapat dihapus oleh user berwenang</t>
  </si>
  <si>
    <t xml:space="preserve">1. Kirim DELETE request ke /arsip-pdf/{id}
2. Amati response</t>
  </si>
  <si>
    <t xml:space="preserve">1. Status code 200
2. message mengandung 'berhasil dihapus'</t>
  </si>
  <si>
    <t xml:space="preserve">TC-ARSP-007</t>
  </si>
  <si>
    <t xml:space="preserve">Mengakses modul Arsip PDF dengan role yang tidak berwenang</t>
  </si>
  <si>
    <t xml:space="preserve">Memverifikasi role tertentu (contoh: operator_gudang) dibatasi aksesnya terhadap data arsip sensitif sesuai matrix otorisasi</t>
  </si>
  <si>
    <t xml:space="preserve">Akun dengan role terbatas tersedia</t>
  </si>
  <si>
    <t xml:space="preserve">1. Login dengan role terbatas
2. Kirim GET/DELETE ke /arsip-pdf
3. Amati response</t>
  </si>
  <si>
    <t xml:space="preserve">role: operator_gudang (contoh)</t>
  </si>
  <si>
    <t xml:space="preserve">1. Status code 403 jika role tidak diizinkan sesuai matrix otorisasi
2. Perlu konfirmasi matrix otorisasi resmi</t>
  </si>
  <si>
    <t xml:space="preserve">Matrix otorisasi resmi untuk modul Arsip PDF per role belum diterima dari tim Dev/Product. Test ditunda hingga daftar role yang diizinkan/dibatasi dikonfirmasi secara resmi.</t>
  </si>
  <si>
    <t xml:space="preserve">Role-based access control - perlu klarifikasi requirement</t>
  </si>
  <si>
    <t xml:space="preserve">TC-USR-001</t>
  </si>
  <si>
    <t xml:space="preserve">Menampilkan daftar seluruh user</t>
  </si>
  <si>
    <t xml:space="preserve">Memverifikasi administrator dapat melihat daftar seluruh user sistem</t>
  </si>
  <si>
    <t xml:space="preserve">User login sebagai administrator</t>
  </si>
  <si>
    <t xml:space="preserve">1. Kirim GET request ke /users
2. Amati response</t>
  </si>
  <si>
    <t xml:space="preserve">1. Status code 200
2. success = true
3. data berupa array, tiap user memiliki id, email, role, created_at</t>
  </si>
  <si>
    <t xml:space="preserve">TC-USR-002</t>
  </si>
  <si>
    <t xml:space="preserve">Membuat user baru dengan role valid</t>
  </si>
  <si>
    <t xml:space="preserve">Memverifikasi administrator dapat membuat akun user baru dengan role yang sah</t>
  </si>
  <si>
    <t xml:space="preserve">1. Kirim POST request ke /users
2. Isi email, role, password
3. Amati response</t>
  </si>
  <si>
    <t xml:space="preserve">email: qa_staff@hutch.id
role: staf_penjualan
password: password123</t>
  </si>
  <si>
    <t xml:space="preserve">1. Status code 201
2. success = true
3. data.email dan data.role sesuai input</t>
  </si>
  <si>
    <t xml:space="preserve">TC-USR-003</t>
  </si>
  <si>
    <t xml:space="preserve">Membuat user dengan email yang sudah terdaftar (duplikat)</t>
  </si>
  <si>
    <t xml:space="preserve">Memverifikasi validasi keunikan (unique) email user</t>
  </si>
  <si>
    <t xml:space="preserve">Email qa_staff@hutch.id sudah terdaftar</t>
  </si>
  <si>
    <t xml:space="preserve">1. Kirim POST request ke /users dengan email yang sama
2. Amati response</t>
  </si>
  <si>
    <t xml:space="preserve">email: qa_staff@hutch.id (duplikat)</t>
  </si>
  <si>
    <t xml:space="preserve">1. Status code 422
2. success = false
3. Response memiliki properti 'errors'</t>
  </si>
  <si>
    <t xml:space="preserve">TC-USR-004</t>
  </si>
  <si>
    <t xml:space="preserve">Membuat user dengan role tidak valid/tidak dikenal</t>
  </si>
  <si>
    <t xml:space="preserve">Memverifikasi validasi enum role hanya menerima role yang telah ditentukan</t>
  </si>
  <si>
    <t xml:space="preserve">1. Kirim POST request ke /users dengan role di luar daftar yang diizinkan
2. Amati response</t>
  </si>
  <si>
    <t xml:space="preserve">role: super_admin (tidak terdaftar)</t>
  </si>
  <si>
    <t xml:space="preserve">1. Status code 422
2. success = false</t>
  </si>
  <si>
    <t xml:space="preserve">Equivalence Partitioning - invalid role</t>
  </si>
  <si>
    <t xml:space="preserve">TC-USR-005</t>
  </si>
  <si>
    <t xml:space="preserve">Memperbarui data user (email dan role)</t>
  </si>
  <si>
    <t xml:space="preserve">Memverifikasi data user dapat diperbarui oleh administrator</t>
  </si>
  <si>
    <t xml:space="preserve">User (created_user_id) tersedia</t>
  </si>
  <si>
    <t xml:space="preserve">1. Kirim PUT request ke /users/{id}
2. Kirim email dan role baru
3. Amati response</t>
  </si>
  <si>
    <t xml:space="preserve">email: qa_staff_updated@hutch.id
role: operator_gudang</t>
  </si>
  <si>
    <t xml:space="preserve">1. Status code 200
2. success = true
3. data.email dan data.role sesuai input baru</t>
  </si>
  <si>
    <t xml:space="preserve">TC-USR-006</t>
  </si>
  <si>
    <t xml:space="preserve">Memperbarui user beserta password baru</t>
  </si>
  <si>
    <t xml:space="preserve">Memverifikasi password user dapat diperbarui dan password baru dapat digunakan untuk login</t>
  </si>
  <si>
    <t xml:space="preserve">User tersedia</t>
  </si>
  <si>
    <t xml:space="preserve">1. Kirim PUT request ke /users/{id} dengan password baru
2. Amati response
3. Coba login menggunakan password baru</t>
  </si>
  <si>
    <t xml:space="preserve">password: newpassword456</t>
  </si>
  <si>
    <t xml:space="preserve">1. Status code 200
2. success = true
3. Login dengan password baru berhasil (200), password lama tidak berlaku lagi</t>
  </si>
  <si>
    <t xml:space="preserve">Perlu langkah verifikasi tambahan (login ulang)</t>
  </si>
  <si>
    <t xml:space="preserve">TC-USR-007</t>
  </si>
  <si>
    <t xml:space="preserve">Menghapus akun milik sendiri (self-delete)</t>
  </si>
  <si>
    <t xml:space="preserve">Memverifikasi sistem mencegah user menghapus akunnya sendiri yang sedang aktif login</t>
  </si>
  <si>
    <t xml:space="preserve">User login dan mencoba menghapus user_id miliknya sendiri</t>
  </si>
  <si>
    <t xml:space="preserve">1. Kirim DELETE request ke /users/{user_id sendiri}
2. Amati response</t>
  </si>
  <si>
    <t xml:space="preserve">user_id: (ID milik user yang sedang login)</t>
  </si>
  <si>
    <t xml:space="preserve">1. Status code 403
2. success = false
3. message mengandung 'tidak dapat menghapus'</t>
  </si>
  <si>
    <t xml:space="preserve">Business rule protection</t>
  </si>
  <si>
    <t xml:space="preserve">TC-USR-008</t>
  </si>
  <si>
    <t xml:space="preserve">Menghapus user lain (bukan diri sendiri)</t>
  </si>
  <si>
    <t xml:space="preserve">Memverifikasi administrator dapat menghapus akun user lain</t>
  </si>
  <si>
    <t xml:space="preserve">User (created_user_id) tersedia dan bukan akun yang sedang login</t>
  </si>
  <si>
    <t xml:space="preserve">1. Kirim DELETE request ke /users/{id}
2. Amati response</t>
  </si>
  <si>
    <t xml:space="preserve">user_id valid (bukan diri sendiri)</t>
  </si>
  <si>
    <t xml:space="preserve">TC-USR-009</t>
  </si>
  <si>
    <t xml:space="preserve">Membuat user tanpa mengisi password</t>
  </si>
  <si>
    <t xml:space="preserve">Memverifikasi validasi field password sebagai required saat pembuatan user</t>
  </si>
  <si>
    <t xml:space="preserve">1. Kirim POST request ke /users tanpa field password
2. Amati response</t>
  </si>
  <si>
    <t xml:space="preserve">password: (kosong)</t>
  </si>
  <si>
    <t xml:space="preserve">1. Status code 422
2. Errors mencantumkan password wajib diisi</t>
  </si>
  <si>
    <t xml:space="preserve">TC-USR-010</t>
  </si>
  <si>
    <t xml:space="preserve">Membuat user dengan password di bawah batas minimum karakter</t>
  </si>
  <si>
    <t xml:space="preserve">Memverifikasi validasi panjang minimal password (boundary value)</t>
  </si>
  <si>
    <t xml:space="preserve">1. Kirim POST request ke /users dengan password sangat pendek
2. Amati response</t>
  </si>
  <si>
    <t xml:space="preserve">password: 123</t>
  </si>
  <si>
    <t xml:space="preserve">1. Status code 422
2. Errors mencantumkan panjang minimal password (umumnya minimal 8 karakter)</t>
  </si>
  <si>
    <t xml:space="preserve">TC-USR-011</t>
  </si>
  <si>
    <t xml:space="preserve">Mengakses endpoint User Management dengan role non-administrator</t>
  </si>
  <si>
    <t xml:space="preserve">Memverifikasi hanya role administrator yang dapat mengelola user (role-based access control)</t>
  </si>
  <si>
    <t xml:space="preserve">Akun dengan role selain administrator tersedia</t>
  </si>
  <si>
    <t xml:space="preserve">1. Login dengan role staf_penjualan/operator_gudang/pemilik_umkm
2. Kirim GET/POST ke /users
3. Amati response</t>
  </si>
  <si>
    <t xml:space="preserve">role: staf_penjualan (contoh)</t>
  </si>
  <si>
    <t xml:space="preserve">1. Status code 403 Forbidden</t>
  </si>
  <si>
    <t xml:space="preserve">1. Status code 200 diterima (seharusnya 403 Forbidden)
2. User dengan role staf_penjualan tetap dapat mengakses GET /users dan melihat seluruh daftar user termasuk data administrator
3. Middleware otorisasi role-based belum diterapkan secara konsisten pada endpoint User Management</t>
  </si>
  <si>
    <t xml:space="preserve">Security - authorization</t>
  </si>
  <si>
    <t xml:space="preserve">TC-USR-012</t>
  </si>
  <si>
    <t xml:space="preserve">Membuat user dengan format email tidak valid</t>
  </si>
  <si>
    <t xml:space="preserve">Memverifikasi validasi format email pada endpoint pembuatan user</t>
  </si>
  <si>
    <t xml:space="preserve">1. Kirim POST request ke /users dengan email format salah
2. Amati response</t>
  </si>
  <si>
    <t xml:space="preserve">email: not-an-email</t>
  </si>
  <si>
    <t xml:space="preserve">TC-CHAT-001</t>
  </si>
  <si>
    <t xml:space="preserve">Mengirim pesan chatbot dengan pertanyaan valid</t>
  </si>
  <si>
    <t xml:space="preserve">Memverifikasi chatbot dapat merespons pertanyaan terkait data bisnis (contoh: total pesanan bulan ini)</t>
  </si>
  <si>
    <t xml:space="preserve">1. Kirim POST request ke /chatbot/message
2. Isi pertanyaan terkait data
3. Amati response</t>
  </si>
  <si>
    <t xml:space="preserve">message: Berapa total pesanan bulan ini?</t>
  </si>
  <si>
    <t xml:space="preserve">1. Status code 200
2. Response berupa object dengan jawaban yang relevan</t>
  </si>
  <si>
    <t xml:space="preserve">TC-CHAT-002</t>
  </si>
  <si>
    <t xml:space="preserve">Mengirim pesan chatbot dengan message kosong</t>
  </si>
  <si>
    <t xml:space="preserve">Memverifikasi validasi input pada saat pesan chatbot tidak diisi</t>
  </si>
  <si>
    <t xml:space="preserve">1. Kirim POST request ke /chatbot/message dengan message kosong
2. Amati response</t>
  </si>
  <si>
    <t xml:space="preserve">message: ''</t>
  </si>
  <si>
    <t xml:space="preserve">1. Status code 422
2. Errors mencantumkan message wajib diisi</t>
  </si>
  <si>
    <t xml:space="preserve">TC-CHAT-003</t>
  </si>
  <si>
    <t xml:space="preserve">Mengirim pesan chatbot dengan teks sangat panjang</t>
  </si>
  <si>
    <t xml:space="preserve">Memverifikasi validasi/penanganan sistem terhadap input pesan yang melebihi batas wajar</t>
  </si>
  <si>
    <t xml:space="preserve">1. Kirim POST request ke /chatbot/message dengan teks 5000+ karakter
2. Amati response</t>
  </si>
  <si>
    <t xml:space="preserve">message: (string 5000 karakter)</t>
  </si>
  <si>
    <t xml:space="preserve">1. Status code 200 dengan penanganan wajar, atau 422 jika ada batas maksimal panjang pesan
2. Tidak terjadi error 500 atau timeout</t>
  </si>
  <si>
    <t xml:space="preserve">1. Request dengan payload 5000+ karakter mengalami timeout (&gt;30 detik) tanpa response
2. Tidak ada validasi batas maksimal panjang pesan pada endpoint /chatbot/message
3. Berpotensi menjadi celah Denial of Service (DoS) apabila endpoint menerima payload besar secara berulang</t>
  </si>
  <si>
    <t xml:space="preserve">TC-CHAT-004</t>
  </si>
  <si>
    <t xml:space="preserve">Mengirim pesan chatbot tanpa autentikasi</t>
  </si>
  <si>
    <t xml:space="preserve">Memverifikasi endpoint chatbot memerlukan autentikasi token</t>
  </si>
  <si>
    <t xml:space="preserve">1. Kirim POST request ke /chatbot/message tanpa token
2. Amati response</t>
  </si>
</sst>
</file>

<file path=xl/styles.xml><?xml version="1.0" encoding="utf-8"?>
<styleSheet xmlns="http://schemas.openxmlformats.org/spreadsheetml/2006/main">
  <numFmts count="3">
    <numFmt numFmtId="164" formatCode="General"/>
    <numFmt numFmtId="165" formatCode="0.0%"/>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b val="true"/>
      <sz val="14"/>
      <color rgb="FFFFFFFF"/>
      <name val="Arial"/>
      <family val="0"/>
      <charset val="1"/>
    </font>
    <font>
      <b val="true"/>
      <sz val="12"/>
      <color rgb="FF1F3864"/>
      <name val="Arial"/>
      <family val="0"/>
      <charset val="1"/>
    </font>
    <font>
      <i val="true"/>
      <sz val="11"/>
      <color rgb="FF1F3864"/>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7F7F7F"/>
      <name val="Arial"/>
      <family val="0"/>
      <charset val="1"/>
    </font>
    <font>
      <b val="true"/>
      <sz val="13"/>
      <color rgb="FFFFFFFF"/>
      <name val="Arial"/>
      <family val="0"/>
      <charset val="1"/>
    </font>
    <font>
      <b val="true"/>
      <sz val="10"/>
      <color rgb="FFFFFFFF"/>
      <name val="Arial"/>
      <family val="0"/>
      <charset val="1"/>
    </font>
    <font>
      <i val="true"/>
      <sz val="10"/>
      <color rgb="FF1F3864"/>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9E2F3"/>
        <bgColor rgb="FFE2EFDA"/>
      </patternFill>
    </fill>
    <fill>
      <patternFill patternType="solid">
        <fgColor rgb="FFF2F2F2"/>
        <bgColor rgb="FFE2EFDA"/>
      </patternFill>
    </fill>
    <fill>
      <patternFill patternType="solid">
        <fgColor rgb="FFFFFFFF"/>
        <bgColor rgb="FFF2F2F2"/>
      </patternFill>
    </fill>
    <fill>
      <patternFill patternType="solid">
        <fgColor rgb="FFF8CBCB"/>
        <bgColor rgb="FFFCE4D6"/>
      </patternFill>
    </fill>
    <fill>
      <patternFill patternType="solid">
        <fgColor rgb="FFFCE4D6"/>
        <bgColor rgb="FFFFF2CC"/>
      </patternFill>
    </fill>
    <fill>
      <patternFill patternType="solid">
        <fgColor rgb="FFFFF2CC"/>
        <bgColor rgb="FFFCE4D6"/>
      </patternFill>
    </fill>
    <fill>
      <patternFill patternType="solid">
        <fgColor rgb="FFE2EFDA"/>
        <bgColor rgb="FFF2F2F2"/>
      </patternFill>
    </fill>
    <fill>
      <patternFill patternType="solid">
        <fgColor rgb="FFC6E0B4"/>
        <bgColor rgb="FFE2EFDA"/>
      </patternFill>
    </fill>
    <fill>
      <patternFill patternType="solid">
        <fgColor rgb="FFFFE699"/>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5" borderId="1" xfId="0" applyFont="true" applyBorder="true" applyAlignment="true" applyProtection="false">
      <alignment horizontal="general" vertical="center" textRotation="0" wrapText="false" indent="1" shrinkToFit="false"/>
      <protection locked="true" hidden="false"/>
    </xf>
    <xf numFmtId="164" fontId="10" fillId="6" borderId="2" xfId="0" applyFont="true" applyBorder="true" applyAlignment="true" applyProtection="false">
      <alignment horizontal="general" vertical="center" textRotation="0" wrapText="false" indent="1"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true" indent="1"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1"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9" fillId="1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5395"/>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CB"/>
          <bgColor rgb="FF000000"/>
        </patternFill>
      </fill>
    </dxf>
    <dxf>
      <fill>
        <patternFill patternType="solid">
          <fgColor rgb="FFFFE699"/>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6E0B4"/>
      <rgbColor rgb="FFE2EFDA"/>
      <rgbColor rgb="FFFFE699"/>
      <rgbColor rgb="FF99CCFF"/>
      <rgbColor rgb="FFFCE4D6"/>
      <rgbColor rgb="FFCC99FF"/>
      <rgbColor rgb="FFF8CBCB"/>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28"/>
    <col collapsed="false" customWidth="true" hidden="false" outlineLevel="0" max="4" min="4" style="0" width="22"/>
    <col collapsed="false" customWidth="true" hidden="false" outlineLevel="0" max="5" min="5" style="0" width="16"/>
    <col collapsed="false" customWidth="true" hidden="false" outlineLevel="0" max="6" min="6" style="0" width="14"/>
    <col collapsed="false" customWidth="true" hidden="false" outlineLevel="0" max="7" min="7" style="0" width="3"/>
  </cols>
  <sheetData>
    <row r="2" customFormat="false" ht="39.75" hidden="false" customHeight="true" outlineLevel="0" collapsed="false">
      <c r="B2" s="1" t="s">
        <v>0</v>
      </c>
      <c r="C2" s="1"/>
      <c r="D2" s="1"/>
      <c r="E2" s="1"/>
      <c r="F2" s="1"/>
    </row>
    <row r="3" customFormat="false" ht="25.5" hidden="false" customHeight="true" outlineLevel="0" collapsed="false">
      <c r="B3" s="2" t="s">
        <v>1</v>
      </c>
      <c r="C3" s="2"/>
      <c r="D3" s="2"/>
      <c r="E3" s="2"/>
      <c r="F3" s="2"/>
    </row>
    <row r="4" customFormat="false" ht="21.75" hidden="false" customHeight="true" outlineLevel="0" collapsed="false">
      <c r="B4" s="3" t="s">
        <v>2</v>
      </c>
      <c r="C4" s="3"/>
      <c r="D4" s="3"/>
      <c r="E4" s="3"/>
      <c r="F4" s="3"/>
    </row>
    <row r="5" customFormat="false" ht="19.5" hidden="false" customHeight="true" outlineLevel="0" collapsed="false">
      <c r="B5" s="4" t="s">
        <v>3</v>
      </c>
      <c r="C5" s="4"/>
      <c r="D5" s="4"/>
      <c r="E5" s="4"/>
      <c r="F5" s="4"/>
    </row>
    <row r="7" customFormat="false" ht="19.5" hidden="false" customHeight="true" outlineLevel="0" collapsed="false">
      <c r="B7" s="5" t="s">
        <v>4</v>
      </c>
      <c r="C7" s="5"/>
      <c r="D7" s="5"/>
      <c r="E7" s="5"/>
      <c r="F7" s="5"/>
    </row>
    <row r="8" customFormat="false" ht="18" hidden="false" customHeight="true" outlineLevel="0" collapsed="false">
      <c r="B8" s="6" t="s">
        <v>5</v>
      </c>
      <c r="C8" s="7" t="s">
        <v>6</v>
      </c>
      <c r="D8" s="7"/>
      <c r="E8" s="7"/>
      <c r="F8" s="7"/>
    </row>
    <row r="9" customFormat="false" ht="18" hidden="false" customHeight="true" outlineLevel="0" collapsed="false">
      <c r="B9" s="6" t="s">
        <v>7</v>
      </c>
      <c r="C9" s="7" t="s">
        <v>8</v>
      </c>
      <c r="D9" s="7"/>
      <c r="E9" s="7"/>
      <c r="F9" s="7"/>
    </row>
    <row r="10" customFormat="false" ht="18" hidden="false" customHeight="true" outlineLevel="0" collapsed="false">
      <c r="B10" s="6" t="s">
        <v>9</v>
      </c>
      <c r="C10" s="7" t="s">
        <v>10</v>
      </c>
      <c r="D10" s="7"/>
      <c r="E10" s="7"/>
      <c r="F10" s="7"/>
    </row>
    <row r="11" customFormat="false" ht="18" hidden="false" customHeight="true" outlineLevel="0" collapsed="false">
      <c r="B11" s="6" t="s">
        <v>11</v>
      </c>
      <c r="C11" s="7" t="s">
        <v>12</v>
      </c>
      <c r="D11" s="7"/>
      <c r="E11" s="7"/>
      <c r="F11" s="7"/>
    </row>
    <row r="12" customFormat="false" ht="18" hidden="false" customHeight="true" outlineLevel="0" collapsed="false">
      <c r="B12" s="6" t="s">
        <v>13</v>
      </c>
      <c r="C12" s="7" t="s">
        <v>14</v>
      </c>
      <c r="D12" s="7"/>
      <c r="E12" s="7"/>
      <c r="F12" s="7"/>
    </row>
    <row r="13" customFormat="false" ht="18" hidden="false" customHeight="true" outlineLevel="0" collapsed="false">
      <c r="B13" s="6" t="s">
        <v>15</v>
      </c>
      <c r="C13" s="7" t="s">
        <v>16</v>
      </c>
      <c r="D13" s="7"/>
      <c r="E13" s="7"/>
      <c r="F13" s="7"/>
    </row>
    <row r="14" customFormat="false" ht="18" hidden="false" customHeight="true" outlineLevel="0" collapsed="false">
      <c r="B14" s="6" t="s">
        <v>17</v>
      </c>
      <c r="C14" s="7" t="s">
        <v>18</v>
      </c>
      <c r="D14" s="7"/>
      <c r="E14" s="7"/>
      <c r="F14" s="7"/>
    </row>
    <row r="15" customFormat="false" ht="18" hidden="false" customHeight="true" outlineLevel="0" collapsed="false">
      <c r="B15" s="6" t="s">
        <v>19</v>
      </c>
      <c r="C15" s="7" t="n">
        <v>100</v>
      </c>
      <c r="D15" s="7"/>
      <c r="E15" s="7"/>
      <c r="F15" s="7"/>
    </row>
    <row r="17" customFormat="false" ht="19.5" hidden="false" customHeight="true" outlineLevel="0" collapsed="false">
      <c r="B17" s="5" t="s">
        <v>20</v>
      </c>
      <c r="C17" s="5"/>
      <c r="D17" s="5"/>
      <c r="E17" s="5"/>
      <c r="F17" s="5"/>
    </row>
    <row r="18" customFormat="false" ht="18" hidden="false" customHeight="true" outlineLevel="0" collapsed="false">
      <c r="B18" s="8" t="s">
        <v>9</v>
      </c>
      <c r="C18" s="8" t="s">
        <v>21</v>
      </c>
      <c r="D18" s="9" t="s">
        <v>22</v>
      </c>
      <c r="E18" s="9"/>
      <c r="F18" s="8" t="s">
        <v>23</v>
      </c>
    </row>
    <row r="19" customFormat="false" ht="30" hidden="false" customHeight="true" outlineLevel="0" collapsed="false">
      <c r="B19" s="10" t="s">
        <v>10</v>
      </c>
      <c r="C19" s="10" t="s">
        <v>12</v>
      </c>
      <c r="D19" s="11" t="s">
        <v>24</v>
      </c>
      <c r="E19" s="11"/>
      <c r="F19" s="12" t="s">
        <v>25</v>
      </c>
    </row>
    <row r="21" customFormat="false" ht="19.5" hidden="false" customHeight="true" outlineLevel="0" collapsed="false">
      <c r="B21" s="5" t="s">
        <v>26</v>
      </c>
      <c r="C21" s="5"/>
      <c r="D21" s="5"/>
      <c r="E21" s="5"/>
      <c r="F21" s="5"/>
    </row>
    <row r="22" customFormat="false" ht="30" hidden="false" customHeight="true" outlineLevel="0" collapsed="false">
      <c r="B22" s="13" t="s">
        <v>27</v>
      </c>
      <c r="C22" s="11" t="s">
        <v>28</v>
      </c>
      <c r="D22" s="11"/>
      <c r="E22" s="11"/>
      <c r="F22" s="11"/>
    </row>
    <row r="23" customFormat="false" ht="30" hidden="false" customHeight="true" outlineLevel="0" collapsed="false">
      <c r="B23" s="14" t="s">
        <v>29</v>
      </c>
      <c r="C23" s="11" t="s">
        <v>30</v>
      </c>
      <c r="D23" s="11"/>
      <c r="E23" s="11"/>
      <c r="F23" s="11"/>
    </row>
    <row r="24" customFormat="false" ht="30" hidden="false" customHeight="true" outlineLevel="0" collapsed="false">
      <c r="B24" s="15" t="s">
        <v>31</v>
      </c>
      <c r="C24" s="11" t="s">
        <v>32</v>
      </c>
      <c r="D24" s="11"/>
      <c r="E24" s="11"/>
      <c r="F24" s="11"/>
    </row>
    <row r="25" customFormat="false" ht="30" hidden="false" customHeight="true" outlineLevel="0" collapsed="false">
      <c r="B25" s="16" t="s">
        <v>33</v>
      </c>
      <c r="C25" s="11" t="s">
        <v>34</v>
      </c>
      <c r="D25" s="11"/>
      <c r="E25" s="11"/>
      <c r="F25" s="11"/>
    </row>
    <row r="27" customFormat="false" ht="19.5" hidden="false" customHeight="true" outlineLevel="0" collapsed="false">
      <c r="B27" s="5" t="s">
        <v>35</v>
      </c>
      <c r="C27" s="5"/>
      <c r="D27" s="5"/>
      <c r="E27" s="5"/>
      <c r="F27" s="5"/>
    </row>
    <row r="28" customFormat="false" ht="25.5" hidden="false" customHeight="true" outlineLevel="0" collapsed="false">
      <c r="B28" s="14" t="s">
        <v>29</v>
      </c>
      <c r="C28" s="11" t="s">
        <v>36</v>
      </c>
      <c r="D28" s="11"/>
      <c r="E28" s="11"/>
      <c r="F28" s="11"/>
    </row>
    <row r="29" customFormat="false" ht="25.5" hidden="false" customHeight="true" outlineLevel="0" collapsed="false">
      <c r="B29" s="15" t="s">
        <v>31</v>
      </c>
      <c r="C29" s="11" t="s">
        <v>37</v>
      </c>
      <c r="D29" s="11"/>
      <c r="E29" s="11"/>
      <c r="F29" s="11"/>
    </row>
    <row r="30" customFormat="false" ht="25.5" hidden="false" customHeight="true" outlineLevel="0" collapsed="false">
      <c r="B30" s="16" t="s">
        <v>33</v>
      </c>
      <c r="C30" s="11" t="s">
        <v>38</v>
      </c>
      <c r="D30" s="11"/>
      <c r="E30" s="11"/>
      <c r="F30" s="11"/>
    </row>
    <row r="32" customFormat="false" ht="15" hidden="false" customHeight="false" outlineLevel="0" collapsed="false">
      <c r="B32" s="17" t="s">
        <v>39</v>
      </c>
      <c r="C32" s="17"/>
      <c r="D32" s="17"/>
      <c r="E32" s="17"/>
      <c r="F32" s="17"/>
    </row>
  </sheetData>
  <mergeCells count="26">
    <mergeCell ref="B2:F2"/>
    <mergeCell ref="B3:F3"/>
    <mergeCell ref="B4:F4"/>
    <mergeCell ref="B5:F5"/>
    <mergeCell ref="B7:F7"/>
    <mergeCell ref="C8:F8"/>
    <mergeCell ref="C9:F9"/>
    <mergeCell ref="C10:F10"/>
    <mergeCell ref="C11:F11"/>
    <mergeCell ref="C12:F12"/>
    <mergeCell ref="C13:F13"/>
    <mergeCell ref="C14:F14"/>
    <mergeCell ref="C15:F15"/>
    <mergeCell ref="B17:F17"/>
    <mergeCell ref="D18:E18"/>
    <mergeCell ref="D19:E19"/>
    <mergeCell ref="B21:F21"/>
    <mergeCell ref="C22:F22"/>
    <mergeCell ref="C23:F23"/>
    <mergeCell ref="C24:F24"/>
    <mergeCell ref="C25:F25"/>
    <mergeCell ref="B27:F27"/>
    <mergeCell ref="C28:F28"/>
    <mergeCell ref="C29:F29"/>
    <mergeCell ref="C30:F30"/>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6"/>
    <col collapsed="false" customWidth="true" hidden="false" outlineLevel="0" max="7" min="4" style="0" width="16"/>
    <col collapsed="false" customWidth="true" hidden="false" outlineLevel="0" max="8" min="8" style="0" width="12"/>
  </cols>
  <sheetData>
    <row r="2" customFormat="false" ht="25.5" hidden="false" customHeight="true" outlineLevel="0" collapsed="false">
      <c r="B2" s="18" t="s">
        <v>40</v>
      </c>
      <c r="C2" s="18"/>
      <c r="D2" s="18"/>
      <c r="E2" s="18"/>
      <c r="F2" s="18"/>
      <c r="G2" s="18"/>
    </row>
    <row r="4" customFormat="false" ht="30" hidden="false" customHeight="true" outlineLevel="0" collapsed="false">
      <c r="B4" s="19" t="s">
        <v>41</v>
      </c>
      <c r="C4" s="19" t="s">
        <v>42</v>
      </c>
      <c r="D4" s="19" t="s">
        <v>43</v>
      </c>
      <c r="E4" s="19" t="s">
        <v>44</v>
      </c>
      <c r="F4" s="19" t="s">
        <v>45</v>
      </c>
      <c r="G4" s="19" t="s">
        <v>46</v>
      </c>
      <c r="H4" s="19" t="s">
        <v>47</v>
      </c>
    </row>
    <row r="5" customFormat="false" ht="18" hidden="false" customHeight="true" outlineLevel="0" collapsed="false">
      <c r="B5" s="10" t="s">
        <v>48</v>
      </c>
      <c r="C5" s="20" t="s">
        <v>49</v>
      </c>
      <c r="D5" s="10" t="n">
        <v>12</v>
      </c>
      <c r="E5" s="10" t="n">
        <f aca="false">COUNTIFS('Test Cases'!$C$5:$C$104,C5,'Test Cases'!$K$5:$K$104,"&lt;&gt;Not Executed")</f>
        <v>12</v>
      </c>
      <c r="F5" s="10" t="n">
        <f aca="false">COUNTIFS('Test Cases'!$C$5:$C$104,C5,'Test Cases'!$K$5:$K$104,"Pass")</f>
        <v>9</v>
      </c>
      <c r="G5" s="10" t="n">
        <f aca="false">COUNTIFS('Test Cases'!$C$5:$C$104,C5,'Test Cases'!$K$5:$K$104,"Fail")</f>
        <v>1</v>
      </c>
      <c r="H5" s="21" t="n">
        <f aca="false">IFERROR(F5/D5,0)</f>
        <v>0.75</v>
      </c>
    </row>
    <row r="6" customFormat="false" ht="18" hidden="false" customHeight="true" outlineLevel="0" collapsed="false">
      <c r="B6" s="10" t="s">
        <v>50</v>
      </c>
      <c r="C6" s="20" t="s">
        <v>51</v>
      </c>
      <c r="D6" s="10" t="n">
        <v>16</v>
      </c>
      <c r="E6" s="10" t="n">
        <f aca="false">COUNTIFS('Test Cases'!$C$5:$C$104,C6,'Test Cases'!$K$5:$K$104,"&lt;&gt;Not Executed")</f>
        <v>16</v>
      </c>
      <c r="F6" s="10" t="n">
        <f aca="false">COUNTIFS('Test Cases'!$C$5:$C$104,C6,'Test Cases'!$K$5:$K$104,"Pass")</f>
        <v>13</v>
      </c>
      <c r="G6" s="10" t="n">
        <f aca="false">COUNTIFS('Test Cases'!$C$5:$C$104,C6,'Test Cases'!$K$5:$K$104,"Fail")</f>
        <v>2</v>
      </c>
      <c r="H6" s="21" t="n">
        <f aca="false">IFERROR(F6/D6,0)</f>
        <v>0.8125</v>
      </c>
    </row>
    <row r="7" customFormat="false" ht="18" hidden="false" customHeight="true" outlineLevel="0" collapsed="false">
      <c r="B7" s="10" t="s">
        <v>52</v>
      </c>
      <c r="C7" s="20" t="s">
        <v>53</v>
      </c>
      <c r="D7" s="10" t="n">
        <v>13</v>
      </c>
      <c r="E7" s="10" t="n">
        <f aca="false">COUNTIFS('Test Cases'!$C$5:$C$104,C7,'Test Cases'!$K$5:$K$104,"&lt;&gt;Not Executed")</f>
        <v>13</v>
      </c>
      <c r="F7" s="10" t="n">
        <f aca="false">COUNTIFS('Test Cases'!$C$5:$C$104,C7,'Test Cases'!$K$5:$K$104,"Pass")</f>
        <v>10</v>
      </c>
      <c r="G7" s="10" t="n">
        <f aca="false">COUNTIFS('Test Cases'!$C$5:$C$104,C7,'Test Cases'!$K$5:$K$104,"Fail")</f>
        <v>2</v>
      </c>
      <c r="H7" s="21" t="n">
        <f aca="false">IFERROR(F7/D7,0)</f>
        <v>0.769230769230769</v>
      </c>
    </row>
    <row r="8" customFormat="false" ht="18" hidden="false" customHeight="true" outlineLevel="0" collapsed="false">
      <c r="B8" s="10" t="s">
        <v>54</v>
      </c>
      <c r="C8" s="20" t="s">
        <v>55</v>
      </c>
      <c r="D8" s="10" t="n">
        <v>24</v>
      </c>
      <c r="E8" s="10" t="n">
        <f aca="false">COUNTIFS('Test Cases'!$C$5:$C$104,C8,'Test Cases'!$K$5:$K$104,"&lt;&gt;Not Executed")</f>
        <v>24</v>
      </c>
      <c r="F8" s="10" t="n">
        <f aca="false">COUNTIFS('Test Cases'!$C$5:$C$104,C8,'Test Cases'!$K$5:$K$104,"Pass")</f>
        <v>20</v>
      </c>
      <c r="G8" s="10" t="n">
        <f aca="false">COUNTIFS('Test Cases'!$C$5:$C$104,C8,'Test Cases'!$K$5:$K$104,"Fail")</f>
        <v>3</v>
      </c>
      <c r="H8" s="21" t="n">
        <f aca="false">IFERROR(F8/D8,0)</f>
        <v>0.833333333333333</v>
      </c>
    </row>
    <row r="9" customFormat="false" ht="18" hidden="false" customHeight="true" outlineLevel="0" collapsed="false">
      <c r="B9" s="10" t="s">
        <v>56</v>
      </c>
      <c r="C9" s="20" t="s">
        <v>57</v>
      </c>
      <c r="D9" s="10" t="n">
        <v>9</v>
      </c>
      <c r="E9" s="10" t="n">
        <f aca="false">COUNTIFS('Test Cases'!$C$5:$C$104,C9,'Test Cases'!$K$5:$K$104,"&lt;&gt;Not Executed")</f>
        <v>9</v>
      </c>
      <c r="F9" s="10" t="n">
        <f aca="false">COUNTIFS('Test Cases'!$C$5:$C$104,C9,'Test Cases'!$K$5:$K$104,"Pass")</f>
        <v>7</v>
      </c>
      <c r="G9" s="10" t="n">
        <f aca="false">COUNTIFS('Test Cases'!$C$5:$C$104,C9,'Test Cases'!$K$5:$K$104,"Fail")</f>
        <v>2</v>
      </c>
      <c r="H9" s="21" t="n">
        <f aca="false">IFERROR(F9/D9,0)</f>
        <v>0.777777777777778</v>
      </c>
    </row>
    <row r="10" customFormat="false" ht="18" hidden="false" customHeight="true" outlineLevel="0" collapsed="false">
      <c r="B10" s="10" t="s">
        <v>58</v>
      </c>
      <c r="C10" s="20" t="s">
        <v>59</v>
      </c>
      <c r="D10" s="10" t="n">
        <v>3</v>
      </c>
      <c r="E10" s="10" t="n">
        <f aca="false">COUNTIFS('Test Cases'!$C$5:$C$104,C10,'Test Cases'!$K$5:$K$104,"&lt;&gt;Not Executed")</f>
        <v>3</v>
      </c>
      <c r="F10" s="10" t="n">
        <f aca="false">COUNTIFS('Test Cases'!$C$5:$C$104,C10,'Test Cases'!$K$5:$K$104,"Pass")</f>
        <v>2</v>
      </c>
      <c r="G10" s="10" t="n">
        <f aca="false">COUNTIFS('Test Cases'!$C$5:$C$104,C10,'Test Cases'!$K$5:$K$104,"Fail")</f>
        <v>1</v>
      </c>
      <c r="H10" s="21" t="n">
        <f aca="false">IFERROR(F10/D10,0)</f>
        <v>0.666666666666667</v>
      </c>
    </row>
    <row r="11" customFormat="false" ht="18" hidden="false" customHeight="true" outlineLevel="0" collapsed="false">
      <c r="B11" s="10" t="s">
        <v>60</v>
      </c>
      <c r="C11" s="20" t="s">
        <v>61</v>
      </c>
      <c r="D11" s="10" t="n">
        <v>7</v>
      </c>
      <c r="E11" s="10" t="n">
        <f aca="false">COUNTIFS('Test Cases'!$C$5:$C$104,C11,'Test Cases'!$K$5:$K$104,"&lt;&gt;Not Executed")</f>
        <v>7</v>
      </c>
      <c r="F11" s="10" t="n">
        <f aca="false">COUNTIFS('Test Cases'!$C$5:$C$104,C11,'Test Cases'!$K$5:$K$104,"Pass")</f>
        <v>5</v>
      </c>
      <c r="G11" s="10" t="n">
        <f aca="false">COUNTIFS('Test Cases'!$C$5:$C$104,C11,'Test Cases'!$K$5:$K$104,"Fail")</f>
        <v>1</v>
      </c>
      <c r="H11" s="21" t="n">
        <f aca="false">IFERROR(F11/D11,0)</f>
        <v>0.714285714285714</v>
      </c>
    </row>
    <row r="12" customFormat="false" ht="18" hidden="false" customHeight="true" outlineLevel="0" collapsed="false">
      <c r="B12" s="10" t="s">
        <v>62</v>
      </c>
      <c r="C12" s="20" t="s">
        <v>63</v>
      </c>
      <c r="D12" s="10" t="n">
        <v>12</v>
      </c>
      <c r="E12" s="10" t="n">
        <f aca="false">COUNTIFS('Test Cases'!$C$5:$C$104,C12,'Test Cases'!$K$5:$K$104,"&lt;&gt;Not Executed")</f>
        <v>12</v>
      </c>
      <c r="F12" s="10" t="n">
        <f aca="false">COUNTIFS('Test Cases'!$C$5:$C$104,C12,'Test Cases'!$K$5:$K$104,"Pass")</f>
        <v>11</v>
      </c>
      <c r="G12" s="10" t="n">
        <f aca="false">COUNTIFS('Test Cases'!$C$5:$C$104,C12,'Test Cases'!$K$5:$K$104,"Fail")</f>
        <v>1</v>
      </c>
      <c r="H12" s="21" t="n">
        <f aca="false">IFERROR(F12/D12,0)</f>
        <v>0.916666666666667</v>
      </c>
    </row>
    <row r="13" customFormat="false" ht="18" hidden="false" customHeight="true" outlineLevel="0" collapsed="false">
      <c r="B13" s="10" t="s">
        <v>64</v>
      </c>
      <c r="C13" s="20" t="s">
        <v>65</v>
      </c>
      <c r="D13" s="10" t="n">
        <v>4</v>
      </c>
      <c r="E13" s="10" t="n">
        <f aca="false">COUNTIFS('Test Cases'!$C$5:$C$104,C13,'Test Cases'!$K$5:$K$104,"&lt;&gt;Not Executed")</f>
        <v>4</v>
      </c>
      <c r="F13" s="10" t="n">
        <f aca="false">COUNTIFS('Test Cases'!$C$5:$C$104,C13,'Test Cases'!$K$5:$K$104,"Pass")</f>
        <v>3</v>
      </c>
      <c r="G13" s="10" t="n">
        <f aca="false">COUNTIFS('Test Cases'!$C$5:$C$104,C13,'Test Cases'!$K$5:$K$104,"Fail")</f>
        <v>1</v>
      </c>
      <c r="H13" s="21" t="n">
        <f aca="false">IFERROR(F13/D13,0)</f>
        <v>0.75</v>
      </c>
    </row>
    <row r="14" customFormat="false" ht="19.5" hidden="false" customHeight="true" outlineLevel="0" collapsed="false">
      <c r="B14" s="22" t="s">
        <v>66</v>
      </c>
      <c r="C14" s="22"/>
      <c r="D14" s="23" t="n">
        <f aca="false">SUM(D5:D13)</f>
        <v>100</v>
      </c>
      <c r="E14" s="23" t="n">
        <f aca="false">SUM(E5:E13)</f>
        <v>100</v>
      </c>
      <c r="F14" s="23" t="n">
        <f aca="false">SUM(F5:F13)</f>
        <v>80</v>
      </c>
      <c r="G14" s="23" t="n">
        <f aca="false">SUM(G5:G13)</f>
        <v>14</v>
      </c>
      <c r="H14" s="24" t="n">
        <f aca="false">IFERROR(F14/D14,0)</f>
        <v>0.8</v>
      </c>
    </row>
    <row r="16" customFormat="false" ht="15" hidden="false" customHeight="false" outlineLevel="0" collapsed="false">
      <c r="B16" s="17" t="s">
        <v>67</v>
      </c>
      <c r="C16" s="17"/>
      <c r="D16" s="17"/>
      <c r="E16" s="17"/>
      <c r="F16" s="17"/>
      <c r="G16" s="17"/>
      <c r="H16" s="17"/>
    </row>
  </sheetData>
  <mergeCells count="3">
    <mergeCell ref="B2:G2"/>
    <mergeCell ref="B14:C14"/>
    <mergeCell ref="B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15"/>
    <col collapsed="false" customWidth="true" hidden="false" outlineLevel="0" max="4" min="4" style="0" width="26"/>
    <col collapsed="false" customWidth="true" hidden="false" outlineLevel="0" max="5" min="5" style="0" width="32"/>
    <col collapsed="false" customWidth="true" hidden="false" outlineLevel="0" max="6" min="6" style="0" width="24"/>
    <col collapsed="false" customWidth="true" hidden="false" outlineLevel="0" max="7" min="7" style="0" width="32"/>
    <col collapsed="false" customWidth="true" hidden="false" outlineLevel="0" max="8" min="8" style="0" width="26"/>
    <col collapsed="false" customWidth="true" hidden="false" outlineLevel="0" max="9" min="9" style="0" width="34"/>
    <col collapsed="false" customWidth="true" hidden="false" outlineLevel="0" max="10" min="10" style="0" width="20"/>
    <col collapsed="false" customWidth="true" hidden="false" outlineLevel="0" max="11" min="11" style="0" width="14"/>
    <col collapsed="false" customWidth="true" hidden="false" outlineLevel="0" max="13" min="12" style="0" width="12"/>
    <col collapsed="false" customWidth="true" hidden="false" outlineLevel="0" max="14" min="14" style="0" width="26"/>
  </cols>
  <sheetData>
    <row r="1" customFormat="false" ht="24" hidden="false" customHeight="true" outlineLevel="0" collapsed="false">
      <c r="A1" s="18" t="s">
        <v>68</v>
      </c>
      <c r="B1" s="18"/>
      <c r="C1" s="18"/>
      <c r="D1" s="18"/>
      <c r="E1" s="18"/>
      <c r="F1" s="18"/>
      <c r="G1" s="18"/>
      <c r="H1" s="18"/>
      <c r="I1" s="18"/>
      <c r="J1" s="18"/>
      <c r="K1" s="18"/>
      <c r="L1" s="18"/>
      <c r="M1" s="18"/>
      <c r="N1" s="18"/>
    </row>
    <row r="2" customFormat="false" ht="18" hidden="false" customHeight="true" outlineLevel="0" collapsed="false">
      <c r="A2" s="25" t="s">
        <v>69</v>
      </c>
      <c r="B2" s="25"/>
      <c r="C2" s="25"/>
      <c r="D2" s="25"/>
      <c r="E2" s="25"/>
      <c r="F2" s="25"/>
      <c r="G2" s="25"/>
      <c r="H2" s="25"/>
      <c r="I2" s="25"/>
      <c r="J2" s="25"/>
      <c r="K2" s="25"/>
      <c r="L2" s="25"/>
      <c r="M2" s="25"/>
      <c r="N2" s="25"/>
    </row>
    <row r="3" customFormat="false" ht="3.75" hidden="false" customHeight="true" outlineLevel="0" collapsed="false"/>
    <row r="4" customFormat="false" ht="25.5" hidden="false" customHeight="true" outlineLevel="0" collapsed="false">
      <c r="A4" s="19" t="s">
        <v>41</v>
      </c>
      <c r="B4" s="19" t="s">
        <v>70</v>
      </c>
      <c r="C4" s="19" t="s">
        <v>42</v>
      </c>
      <c r="D4" s="19" t="s">
        <v>71</v>
      </c>
      <c r="E4" s="19" t="s">
        <v>72</v>
      </c>
      <c r="F4" s="19" t="s">
        <v>73</v>
      </c>
      <c r="G4" s="19" t="s">
        <v>74</v>
      </c>
      <c r="H4" s="19" t="s">
        <v>75</v>
      </c>
      <c r="I4" s="19" t="s">
        <v>76</v>
      </c>
      <c r="J4" s="19" t="s">
        <v>77</v>
      </c>
      <c r="K4" s="19" t="s">
        <v>78</v>
      </c>
      <c r="L4" s="19" t="s">
        <v>79</v>
      </c>
      <c r="M4" s="19" t="s">
        <v>80</v>
      </c>
      <c r="N4" s="19" t="s">
        <v>81</v>
      </c>
    </row>
    <row r="5" customFormat="false" ht="90" hidden="false" customHeight="true" outlineLevel="0" collapsed="false">
      <c r="A5" s="26" t="n">
        <v>1</v>
      </c>
      <c r="B5" s="27" t="s">
        <v>82</v>
      </c>
      <c r="C5" s="28" t="s">
        <v>49</v>
      </c>
      <c r="D5" s="28" t="s">
        <v>83</v>
      </c>
      <c r="E5" s="28" t="s">
        <v>84</v>
      </c>
      <c r="F5" s="28" t="s">
        <v>85</v>
      </c>
      <c r="G5" s="28" t="s">
        <v>86</v>
      </c>
      <c r="H5" s="28" t="s">
        <v>87</v>
      </c>
      <c r="I5" s="28" t="s">
        <v>88</v>
      </c>
      <c r="J5" s="28" t="s">
        <v>88</v>
      </c>
      <c r="K5" s="29" t="s">
        <v>89</v>
      </c>
      <c r="L5" s="30" t="s">
        <v>27</v>
      </c>
      <c r="M5" s="31" t="s">
        <v>29</v>
      </c>
      <c r="N5" s="28" t="s">
        <v>90</v>
      </c>
    </row>
    <row r="6" customFormat="false" ht="60" hidden="false" customHeight="true" outlineLevel="0" collapsed="false">
      <c r="A6" s="32" t="n">
        <v>2</v>
      </c>
      <c r="B6" s="33" t="s">
        <v>91</v>
      </c>
      <c r="C6" s="34" t="s">
        <v>49</v>
      </c>
      <c r="D6" s="34" t="s">
        <v>92</v>
      </c>
      <c r="E6" s="34" t="s">
        <v>93</v>
      </c>
      <c r="F6" s="34" t="s">
        <v>94</v>
      </c>
      <c r="G6" s="34" t="s">
        <v>95</v>
      </c>
      <c r="H6" s="34" t="s">
        <v>96</v>
      </c>
      <c r="I6" s="34" t="s">
        <v>97</v>
      </c>
      <c r="J6" s="34" t="s">
        <v>97</v>
      </c>
      <c r="K6" s="29" t="s">
        <v>89</v>
      </c>
      <c r="L6" s="31" t="s">
        <v>29</v>
      </c>
      <c r="M6" s="31" t="s">
        <v>29</v>
      </c>
      <c r="N6" s="34" t="s">
        <v>98</v>
      </c>
    </row>
    <row r="7" customFormat="false" ht="45" hidden="false" customHeight="true" outlineLevel="0" collapsed="false">
      <c r="A7" s="26" t="n">
        <v>3</v>
      </c>
      <c r="B7" s="27" t="s">
        <v>99</v>
      </c>
      <c r="C7" s="28" t="s">
        <v>49</v>
      </c>
      <c r="D7" s="28" t="s">
        <v>100</v>
      </c>
      <c r="E7" s="28" t="s">
        <v>101</v>
      </c>
      <c r="F7" s="28" t="s">
        <v>102</v>
      </c>
      <c r="G7" s="28" t="s">
        <v>103</v>
      </c>
      <c r="H7" s="28" t="s">
        <v>104</v>
      </c>
      <c r="I7" s="28" t="s">
        <v>105</v>
      </c>
      <c r="J7" s="28" t="s">
        <v>105</v>
      </c>
      <c r="K7" s="29" t="s">
        <v>89</v>
      </c>
      <c r="L7" s="35" t="s">
        <v>31</v>
      </c>
      <c r="M7" s="31" t="s">
        <v>29</v>
      </c>
      <c r="N7" s="28" t="s">
        <v>106</v>
      </c>
    </row>
    <row r="8" customFormat="false" ht="45" hidden="false" customHeight="true" outlineLevel="0" collapsed="false">
      <c r="A8" s="32" t="n">
        <v>4</v>
      </c>
      <c r="B8" s="33" t="s">
        <v>107</v>
      </c>
      <c r="C8" s="34" t="s">
        <v>49</v>
      </c>
      <c r="D8" s="34" t="s">
        <v>108</v>
      </c>
      <c r="E8" s="34" t="s">
        <v>109</v>
      </c>
      <c r="F8" s="34" t="s">
        <v>110</v>
      </c>
      <c r="G8" s="34" t="s">
        <v>111</v>
      </c>
      <c r="H8" s="34" t="s">
        <v>112</v>
      </c>
      <c r="I8" s="34" t="s">
        <v>113</v>
      </c>
      <c r="J8" s="34" t="s">
        <v>113</v>
      </c>
      <c r="K8" s="29" t="s">
        <v>89</v>
      </c>
      <c r="L8" s="35" t="s">
        <v>31</v>
      </c>
      <c r="M8" s="35" t="s">
        <v>31</v>
      </c>
      <c r="N8" s="34" t="s">
        <v>114</v>
      </c>
    </row>
    <row r="9" customFormat="false" ht="30" hidden="false" customHeight="true" outlineLevel="0" collapsed="false">
      <c r="A9" s="26" t="n">
        <v>5</v>
      </c>
      <c r="B9" s="27" t="s">
        <v>115</v>
      </c>
      <c r="C9" s="28" t="s">
        <v>49</v>
      </c>
      <c r="D9" s="28" t="s">
        <v>116</v>
      </c>
      <c r="E9" s="28" t="s">
        <v>117</v>
      </c>
      <c r="F9" s="28" t="s">
        <v>110</v>
      </c>
      <c r="G9" s="28" t="s">
        <v>118</v>
      </c>
      <c r="H9" s="28" t="s">
        <v>112</v>
      </c>
      <c r="I9" s="28" t="s">
        <v>119</v>
      </c>
      <c r="J9" s="28" t="s">
        <v>119</v>
      </c>
      <c r="K9" s="29" t="s">
        <v>89</v>
      </c>
      <c r="L9" s="36" t="s">
        <v>33</v>
      </c>
      <c r="M9" s="35" t="s">
        <v>31</v>
      </c>
      <c r="N9" s="28" t="s">
        <v>114</v>
      </c>
    </row>
    <row r="10" customFormat="false" ht="30" hidden="false" customHeight="true" outlineLevel="0" collapsed="false">
      <c r="A10" s="32" t="n">
        <v>6</v>
      </c>
      <c r="B10" s="33" t="s">
        <v>120</v>
      </c>
      <c r="C10" s="34" t="s">
        <v>49</v>
      </c>
      <c r="D10" s="34" t="s">
        <v>121</v>
      </c>
      <c r="E10" s="34" t="s">
        <v>122</v>
      </c>
      <c r="F10" s="34" t="s">
        <v>102</v>
      </c>
      <c r="G10" s="34" t="s">
        <v>123</v>
      </c>
      <c r="H10" s="34" t="s">
        <v>124</v>
      </c>
      <c r="I10" s="34" t="s">
        <v>125</v>
      </c>
      <c r="J10" s="34" t="s">
        <v>125</v>
      </c>
      <c r="K10" s="29" t="s">
        <v>89</v>
      </c>
      <c r="L10" s="30" t="s">
        <v>27</v>
      </c>
      <c r="M10" s="31" t="s">
        <v>29</v>
      </c>
      <c r="N10" s="34" t="s">
        <v>126</v>
      </c>
    </row>
    <row r="11" customFormat="false" ht="45" hidden="false" customHeight="true" outlineLevel="0" collapsed="false">
      <c r="A11" s="26" t="n">
        <v>7</v>
      </c>
      <c r="B11" s="27" t="s">
        <v>127</v>
      </c>
      <c r="C11" s="28" t="s">
        <v>49</v>
      </c>
      <c r="D11" s="28" t="s">
        <v>128</v>
      </c>
      <c r="E11" s="28" t="s">
        <v>129</v>
      </c>
      <c r="F11" s="28" t="s">
        <v>110</v>
      </c>
      <c r="G11" s="28" t="s">
        <v>130</v>
      </c>
      <c r="H11" s="28" t="s">
        <v>112</v>
      </c>
      <c r="I11" s="28" t="s">
        <v>131</v>
      </c>
      <c r="J11" s="28" t="s">
        <v>132</v>
      </c>
      <c r="K11" s="30" t="s">
        <v>133</v>
      </c>
      <c r="L11" s="31" t="s">
        <v>29</v>
      </c>
      <c r="M11" s="31" t="s">
        <v>29</v>
      </c>
      <c r="N11" s="28" t="s">
        <v>134</v>
      </c>
    </row>
    <row r="12" customFormat="false" ht="45" hidden="false" customHeight="true" outlineLevel="0" collapsed="false">
      <c r="A12" s="32" t="n">
        <v>8</v>
      </c>
      <c r="B12" s="33" t="s">
        <v>135</v>
      </c>
      <c r="C12" s="34" t="s">
        <v>49</v>
      </c>
      <c r="D12" s="34" t="s">
        <v>136</v>
      </c>
      <c r="E12" s="34" t="s">
        <v>137</v>
      </c>
      <c r="F12" s="34" t="s">
        <v>102</v>
      </c>
      <c r="G12" s="34" t="s">
        <v>138</v>
      </c>
      <c r="H12" s="34" t="s">
        <v>139</v>
      </c>
      <c r="I12" s="34" t="s">
        <v>140</v>
      </c>
      <c r="J12" s="34" t="s">
        <v>140</v>
      </c>
      <c r="K12" s="29" t="s">
        <v>89</v>
      </c>
      <c r="L12" s="35" t="s">
        <v>31</v>
      </c>
      <c r="M12" s="35" t="s">
        <v>31</v>
      </c>
      <c r="N12" s="34" t="s">
        <v>141</v>
      </c>
    </row>
    <row r="13" customFormat="false" ht="30" hidden="false" customHeight="true" outlineLevel="0" collapsed="false">
      <c r="A13" s="26" t="n">
        <v>9</v>
      </c>
      <c r="B13" s="27" t="s">
        <v>142</v>
      </c>
      <c r="C13" s="28" t="s">
        <v>49</v>
      </c>
      <c r="D13" s="28" t="s">
        <v>143</v>
      </c>
      <c r="E13" s="28" t="s">
        <v>144</v>
      </c>
      <c r="F13" s="28" t="s">
        <v>145</v>
      </c>
      <c r="G13" s="28" t="s">
        <v>146</v>
      </c>
      <c r="H13" s="28" t="s">
        <v>147</v>
      </c>
      <c r="I13" s="28" t="s">
        <v>148</v>
      </c>
      <c r="J13" s="28" t="s">
        <v>149</v>
      </c>
      <c r="K13" s="37" t="s">
        <v>150</v>
      </c>
      <c r="L13" s="31" t="s">
        <v>29</v>
      </c>
      <c r="M13" s="35" t="s">
        <v>31</v>
      </c>
      <c r="N13" s="28" t="s">
        <v>151</v>
      </c>
    </row>
    <row r="14" customFormat="false" ht="30" hidden="false" customHeight="true" outlineLevel="0" collapsed="false">
      <c r="A14" s="32" t="n">
        <v>10</v>
      </c>
      <c r="B14" s="33" t="s">
        <v>152</v>
      </c>
      <c r="C14" s="34" t="s">
        <v>49</v>
      </c>
      <c r="D14" s="34" t="s">
        <v>153</v>
      </c>
      <c r="E14" s="34" t="s">
        <v>154</v>
      </c>
      <c r="F14" s="34" t="s">
        <v>102</v>
      </c>
      <c r="G14" s="34" t="s">
        <v>155</v>
      </c>
      <c r="H14" s="34" t="s">
        <v>156</v>
      </c>
      <c r="I14" s="34" t="s">
        <v>148</v>
      </c>
      <c r="J14" s="34" t="s">
        <v>148</v>
      </c>
      <c r="K14" s="29" t="s">
        <v>89</v>
      </c>
      <c r="L14" s="31" t="s">
        <v>29</v>
      </c>
      <c r="M14" s="35" t="s">
        <v>31</v>
      </c>
      <c r="N14" s="34" t="s">
        <v>157</v>
      </c>
    </row>
    <row r="15" customFormat="false" ht="45" hidden="false" customHeight="true" outlineLevel="0" collapsed="false">
      <c r="A15" s="26" t="n">
        <v>11</v>
      </c>
      <c r="B15" s="27" t="s">
        <v>158</v>
      </c>
      <c r="C15" s="28" t="s">
        <v>49</v>
      </c>
      <c r="D15" s="28" t="s">
        <v>159</v>
      </c>
      <c r="E15" s="28" t="s">
        <v>160</v>
      </c>
      <c r="F15" s="28" t="s">
        <v>102</v>
      </c>
      <c r="G15" s="28" t="s">
        <v>161</v>
      </c>
      <c r="H15" s="28" t="s">
        <v>162</v>
      </c>
      <c r="I15" s="28" t="s">
        <v>163</v>
      </c>
      <c r="J15" s="28" t="s">
        <v>163</v>
      </c>
      <c r="K15" s="29" t="s">
        <v>89</v>
      </c>
      <c r="L15" s="30" t="s">
        <v>27</v>
      </c>
      <c r="M15" s="31" t="s">
        <v>29</v>
      </c>
      <c r="N15" s="28" t="s">
        <v>164</v>
      </c>
    </row>
    <row r="16" customFormat="false" ht="45" hidden="false" customHeight="true" outlineLevel="0" collapsed="false">
      <c r="A16" s="32" t="n">
        <v>12</v>
      </c>
      <c r="B16" s="33" t="s">
        <v>165</v>
      </c>
      <c r="C16" s="34" t="s">
        <v>49</v>
      </c>
      <c r="D16" s="34" t="s">
        <v>166</v>
      </c>
      <c r="E16" s="34" t="s">
        <v>167</v>
      </c>
      <c r="F16" s="34" t="s">
        <v>168</v>
      </c>
      <c r="G16" s="34" t="s">
        <v>169</v>
      </c>
      <c r="H16" s="34" t="s">
        <v>170</v>
      </c>
      <c r="I16" s="34" t="s">
        <v>171</v>
      </c>
      <c r="J16" s="34" t="s">
        <v>172</v>
      </c>
      <c r="K16" s="37" t="s">
        <v>150</v>
      </c>
      <c r="L16" s="30" t="s">
        <v>27</v>
      </c>
      <c r="M16" s="31" t="s">
        <v>29</v>
      </c>
      <c r="N16" s="34" t="s">
        <v>173</v>
      </c>
    </row>
    <row r="17" customFormat="false" ht="45" hidden="false" customHeight="true" outlineLevel="0" collapsed="false">
      <c r="A17" s="26" t="n">
        <v>13</v>
      </c>
      <c r="B17" s="27" t="s">
        <v>174</v>
      </c>
      <c r="C17" s="28" t="s">
        <v>51</v>
      </c>
      <c r="D17" s="28" t="s">
        <v>175</v>
      </c>
      <c r="E17" s="28" t="s">
        <v>176</v>
      </c>
      <c r="F17" s="28" t="s">
        <v>177</v>
      </c>
      <c r="G17" s="28" t="s">
        <v>178</v>
      </c>
      <c r="H17" s="28" t="s">
        <v>114</v>
      </c>
      <c r="I17" s="28" t="s">
        <v>179</v>
      </c>
      <c r="J17" s="28" t="s">
        <v>179</v>
      </c>
      <c r="K17" s="29" t="s">
        <v>89</v>
      </c>
      <c r="L17" s="35" t="s">
        <v>31</v>
      </c>
      <c r="M17" s="31" t="s">
        <v>29</v>
      </c>
      <c r="N17" s="28" t="s">
        <v>180</v>
      </c>
    </row>
    <row r="18" customFormat="false" ht="30" hidden="false" customHeight="true" outlineLevel="0" collapsed="false">
      <c r="A18" s="32" t="n">
        <v>14</v>
      </c>
      <c r="B18" s="33" t="s">
        <v>181</v>
      </c>
      <c r="C18" s="34" t="s">
        <v>51</v>
      </c>
      <c r="D18" s="34" t="s">
        <v>182</v>
      </c>
      <c r="E18" s="34" t="s">
        <v>183</v>
      </c>
      <c r="F18" s="34" t="s">
        <v>184</v>
      </c>
      <c r="G18" s="34" t="s">
        <v>185</v>
      </c>
      <c r="H18" s="34" t="s">
        <v>186</v>
      </c>
      <c r="I18" s="34" t="s">
        <v>187</v>
      </c>
      <c r="J18" s="34" t="s">
        <v>187</v>
      </c>
      <c r="K18" s="29" t="s">
        <v>89</v>
      </c>
      <c r="L18" s="35" t="s">
        <v>31</v>
      </c>
      <c r="M18" s="31" t="s">
        <v>29</v>
      </c>
      <c r="N18" s="34" t="s">
        <v>114</v>
      </c>
    </row>
    <row r="19" customFormat="false" ht="30" hidden="false" customHeight="true" outlineLevel="0" collapsed="false">
      <c r="A19" s="26" t="n">
        <v>15</v>
      </c>
      <c r="B19" s="27" t="s">
        <v>188</v>
      </c>
      <c r="C19" s="28" t="s">
        <v>51</v>
      </c>
      <c r="D19" s="28" t="s">
        <v>189</v>
      </c>
      <c r="E19" s="28" t="s">
        <v>190</v>
      </c>
      <c r="F19" s="28" t="s">
        <v>191</v>
      </c>
      <c r="G19" s="28" t="s">
        <v>192</v>
      </c>
      <c r="H19" s="28" t="s">
        <v>193</v>
      </c>
      <c r="I19" s="28" t="s">
        <v>194</v>
      </c>
      <c r="J19" s="28" t="s">
        <v>194</v>
      </c>
      <c r="K19" s="29" t="s">
        <v>89</v>
      </c>
      <c r="L19" s="35" t="s">
        <v>31</v>
      </c>
      <c r="M19" s="35" t="s">
        <v>31</v>
      </c>
      <c r="N19" s="28" t="s">
        <v>195</v>
      </c>
    </row>
    <row r="20" customFormat="false" ht="45" hidden="false" customHeight="true" outlineLevel="0" collapsed="false">
      <c r="A20" s="32" t="n">
        <v>16</v>
      </c>
      <c r="B20" s="33" t="s">
        <v>196</v>
      </c>
      <c r="C20" s="34" t="s">
        <v>51</v>
      </c>
      <c r="D20" s="34" t="s">
        <v>197</v>
      </c>
      <c r="E20" s="34" t="s">
        <v>198</v>
      </c>
      <c r="F20" s="34" t="s">
        <v>199</v>
      </c>
      <c r="G20" s="34" t="s">
        <v>200</v>
      </c>
      <c r="H20" s="34" t="s">
        <v>201</v>
      </c>
      <c r="I20" s="34" t="s">
        <v>202</v>
      </c>
      <c r="J20" s="34" t="s">
        <v>202</v>
      </c>
      <c r="K20" s="29" t="s">
        <v>89</v>
      </c>
      <c r="L20" s="30" t="s">
        <v>27</v>
      </c>
      <c r="M20" s="31" t="s">
        <v>29</v>
      </c>
      <c r="N20" s="34" t="s">
        <v>114</v>
      </c>
    </row>
    <row r="21" customFormat="false" ht="30" hidden="false" customHeight="true" outlineLevel="0" collapsed="false">
      <c r="A21" s="26" t="n">
        <v>17</v>
      </c>
      <c r="B21" s="27" t="s">
        <v>203</v>
      </c>
      <c r="C21" s="28" t="s">
        <v>51</v>
      </c>
      <c r="D21" s="28" t="s">
        <v>204</v>
      </c>
      <c r="E21" s="28" t="s">
        <v>205</v>
      </c>
      <c r="F21" s="28" t="s">
        <v>206</v>
      </c>
      <c r="G21" s="28" t="s">
        <v>207</v>
      </c>
      <c r="H21" s="28" t="s">
        <v>208</v>
      </c>
      <c r="I21" s="28" t="s">
        <v>209</v>
      </c>
      <c r="J21" s="28" t="s">
        <v>209</v>
      </c>
      <c r="K21" s="29" t="s">
        <v>89</v>
      </c>
      <c r="L21" s="35" t="s">
        <v>31</v>
      </c>
      <c r="M21" s="35" t="s">
        <v>31</v>
      </c>
      <c r="N21" s="28" t="s">
        <v>210</v>
      </c>
    </row>
    <row r="22" customFormat="false" ht="45" hidden="false" customHeight="true" outlineLevel="0" collapsed="false">
      <c r="A22" s="32" t="n">
        <v>18</v>
      </c>
      <c r="B22" s="33" t="s">
        <v>211</v>
      </c>
      <c r="C22" s="34" t="s">
        <v>51</v>
      </c>
      <c r="D22" s="34" t="s">
        <v>212</v>
      </c>
      <c r="E22" s="34" t="s">
        <v>213</v>
      </c>
      <c r="F22" s="34" t="s">
        <v>214</v>
      </c>
      <c r="G22" s="34" t="s">
        <v>215</v>
      </c>
      <c r="H22" s="34" t="s">
        <v>216</v>
      </c>
      <c r="I22" s="34" t="s">
        <v>217</v>
      </c>
      <c r="J22" s="34" t="s">
        <v>217</v>
      </c>
      <c r="K22" s="29" t="s">
        <v>89</v>
      </c>
      <c r="L22" s="31" t="s">
        <v>29</v>
      </c>
      <c r="M22" s="31" t="s">
        <v>29</v>
      </c>
      <c r="N22" s="34" t="s">
        <v>114</v>
      </c>
    </row>
    <row r="23" customFormat="false" ht="45" hidden="false" customHeight="true" outlineLevel="0" collapsed="false">
      <c r="A23" s="26" t="n">
        <v>19</v>
      </c>
      <c r="B23" s="27" t="s">
        <v>218</v>
      </c>
      <c r="C23" s="28" t="s">
        <v>51</v>
      </c>
      <c r="D23" s="28" t="s">
        <v>219</v>
      </c>
      <c r="E23" s="28" t="s">
        <v>220</v>
      </c>
      <c r="F23" s="28" t="s">
        <v>221</v>
      </c>
      <c r="G23" s="28" t="s">
        <v>222</v>
      </c>
      <c r="H23" s="28" t="s">
        <v>223</v>
      </c>
      <c r="I23" s="28" t="s">
        <v>224</v>
      </c>
      <c r="J23" s="28" t="s">
        <v>224</v>
      </c>
      <c r="K23" s="29" t="s">
        <v>89</v>
      </c>
      <c r="L23" s="31" t="s">
        <v>29</v>
      </c>
      <c r="M23" s="31" t="s">
        <v>29</v>
      </c>
      <c r="N23" s="28" t="s">
        <v>114</v>
      </c>
    </row>
    <row r="24" customFormat="false" ht="45" hidden="false" customHeight="true" outlineLevel="0" collapsed="false">
      <c r="A24" s="32" t="n">
        <v>20</v>
      </c>
      <c r="B24" s="33" t="s">
        <v>225</v>
      </c>
      <c r="C24" s="34" t="s">
        <v>51</v>
      </c>
      <c r="D24" s="34" t="s">
        <v>226</v>
      </c>
      <c r="E24" s="34" t="s">
        <v>227</v>
      </c>
      <c r="F24" s="34" t="s">
        <v>221</v>
      </c>
      <c r="G24" s="34" t="s">
        <v>228</v>
      </c>
      <c r="H24" s="34" t="s">
        <v>229</v>
      </c>
      <c r="I24" s="34" t="s">
        <v>230</v>
      </c>
      <c r="J24" s="34" t="s">
        <v>230</v>
      </c>
      <c r="K24" s="29" t="s">
        <v>89</v>
      </c>
      <c r="L24" s="35" t="s">
        <v>31</v>
      </c>
      <c r="M24" s="35" t="s">
        <v>31</v>
      </c>
      <c r="N24" s="34" t="s">
        <v>114</v>
      </c>
    </row>
    <row r="25" customFormat="false" ht="30" hidden="false" customHeight="true" outlineLevel="0" collapsed="false">
      <c r="A25" s="26" t="n">
        <v>21</v>
      </c>
      <c r="B25" s="27" t="s">
        <v>231</v>
      </c>
      <c r="C25" s="28" t="s">
        <v>51</v>
      </c>
      <c r="D25" s="28" t="s">
        <v>232</v>
      </c>
      <c r="E25" s="28" t="s">
        <v>233</v>
      </c>
      <c r="F25" s="28" t="s">
        <v>234</v>
      </c>
      <c r="G25" s="28" t="s">
        <v>235</v>
      </c>
      <c r="H25" s="28" t="s">
        <v>186</v>
      </c>
      <c r="I25" s="28" t="s">
        <v>236</v>
      </c>
      <c r="J25" s="28" t="s">
        <v>236</v>
      </c>
      <c r="K25" s="29" t="s">
        <v>89</v>
      </c>
      <c r="L25" s="31" t="s">
        <v>29</v>
      </c>
      <c r="M25" s="35" t="s">
        <v>31</v>
      </c>
      <c r="N25" s="28" t="s">
        <v>114</v>
      </c>
    </row>
    <row r="26" customFormat="false" ht="45" hidden="false" customHeight="true" outlineLevel="0" collapsed="false">
      <c r="A26" s="32" t="n">
        <v>22</v>
      </c>
      <c r="B26" s="33" t="s">
        <v>237</v>
      </c>
      <c r="C26" s="34" t="s">
        <v>51</v>
      </c>
      <c r="D26" s="34" t="s">
        <v>238</v>
      </c>
      <c r="E26" s="34" t="s">
        <v>239</v>
      </c>
      <c r="F26" s="34" t="s">
        <v>240</v>
      </c>
      <c r="G26" s="34" t="s">
        <v>241</v>
      </c>
      <c r="H26" s="34" t="s">
        <v>242</v>
      </c>
      <c r="I26" s="34" t="s">
        <v>243</v>
      </c>
      <c r="J26" s="34" t="s">
        <v>243</v>
      </c>
      <c r="K26" s="29" t="s">
        <v>89</v>
      </c>
      <c r="L26" s="31" t="s">
        <v>29</v>
      </c>
      <c r="M26" s="31" t="s">
        <v>29</v>
      </c>
      <c r="N26" s="34" t="s">
        <v>244</v>
      </c>
    </row>
    <row r="27" customFormat="false" ht="30" hidden="false" customHeight="true" outlineLevel="0" collapsed="false">
      <c r="A27" s="26" t="n">
        <v>23</v>
      </c>
      <c r="B27" s="27" t="s">
        <v>245</v>
      </c>
      <c r="C27" s="28" t="s">
        <v>51</v>
      </c>
      <c r="D27" s="28" t="s">
        <v>246</v>
      </c>
      <c r="E27" s="28" t="s">
        <v>247</v>
      </c>
      <c r="F27" s="28" t="s">
        <v>240</v>
      </c>
      <c r="G27" s="28" t="s">
        <v>248</v>
      </c>
      <c r="H27" s="28" t="s">
        <v>249</v>
      </c>
      <c r="I27" s="28" t="s">
        <v>250</v>
      </c>
      <c r="J27" s="28" t="s">
        <v>251</v>
      </c>
      <c r="K27" s="37" t="s">
        <v>150</v>
      </c>
      <c r="L27" s="35" t="s">
        <v>31</v>
      </c>
      <c r="M27" s="35" t="s">
        <v>31</v>
      </c>
      <c r="N27" s="28" t="s">
        <v>252</v>
      </c>
    </row>
    <row r="28" customFormat="false" ht="30" hidden="false" customHeight="true" outlineLevel="0" collapsed="false">
      <c r="A28" s="32" t="n">
        <v>24</v>
      </c>
      <c r="B28" s="33" t="s">
        <v>253</v>
      </c>
      <c r="C28" s="34" t="s">
        <v>51</v>
      </c>
      <c r="D28" s="34" t="s">
        <v>254</v>
      </c>
      <c r="E28" s="34" t="s">
        <v>255</v>
      </c>
      <c r="F28" s="34" t="s">
        <v>240</v>
      </c>
      <c r="G28" s="34" t="s">
        <v>256</v>
      </c>
      <c r="H28" s="34" t="s">
        <v>257</v>
      </c>
      <c r="I28" s="34" t="s">
        <v>258</v>
      </c>
      <c r="J28" s="34" t="s">
        <v>258</v>
      </c>
      <c r="K28" s="29" t="s">
        <v>89</v>
      </c>
      <c r="L28" s="35" t="s">
        <v>31</v>
      </c>
      <c r="M28" s="31" t="s">
        <v>29</v>
      </c>
      <c r="N28" s="34" t="s">
        <v>259</v>
      </c>
    </row>
    <row r="29" customFormat="false" ht="30" hidden="false" customHeight="true" outlineLevel="0" collapsed="false">
      <c r="A29" s="26" t="n">
        <v>25</v>
      </c>
      <c r="B29" s="27" t="s">
        <v>260</v>
      </c>
      <c r="C29" s="28" t="s">
        <v>51</v>
      </c>
      <c r="D29" s="28" t="s">
        <v>261</v>
      </c>
      <c r="E29" s="28" t="s">
        <v>262</v>
      </c>
      <c r="F29" s="28" t="s">
        <v>221</v>
      </c>
      <c r="G29" s="28" t="s">
        <v>263</v>
      </c>
      <c r="H29" s="28" t="s">
        <v>264</v>
      </c>
      <c r="I29" s="28" t="s">
        <v>265</v>
      </c>
      <c r="J29" s="28" t="s">
        <v>265</v>
      </c>
      <c r="K29" s="29" t="s">
        <v>89</v>
      </c>
      <c r="L29" s="31" t="s">
        <v>29</v>
      </c>
      <c r="M29" s="31" t="s">
        <v>29</v>
      </c>
      <c r="N29" s="28" t="s">
        <v>244</v>
      </c>
    </row>
    <row r="30" customFormat="false" ht="30" hidden="false" customHeight="true" outlineLevel="0" collapsed="false">
      <c r="A30" s="32" t="n">
        <v>26</v>
      </c>
      <c r="B30" s="33" t="s">
        <v>266</v>
      </c>
      <c r="C30" s="34" t="s">
        <v>51</v>
      </c>
      <c r="D30" s="34" t="s">
        <v>267</v>
      </c>
      <c r="E30" s="34" t="s">
        <v>268</v>
      </c>
      <c r="F30" s="34" t="s">
        <v>240</v>
      </c>
      <c r="G30" s="34" t="s">
        <v>269</v>
      </c>
      <c r="H30" s="34" t="s">
        <v>270</v>
      </c>
      <c r="I30" s="34" t="s">
        <v>271</v>
      </c>
      <c r="J30" s="34" t="s">
        <v>272</v>
      </c>
      <c r="K30" s="30" t="s">
        <v>133</v>
      </c>
      <c r="L30" s="31" t="s">
        <v>29</v>
      </c>
      <c r="M30" s="35" t="s">
        <v>31</v>
      </c>
      <c r="N30" s="34" t="s">
        <v>273</v>
      </c>
    </row>
    <row r="31" customFormat="false" ht="30" hidden="false" customHeight="true" outlineLevel="0" collapsed="false">
      <c r="A31" s="26" t="n">
        <v>27</v>
      </c>
      <c r="B31" s="27" t="s">
        <v>274</v>
      </c>
      <c r="C31" s="28" t="s">
        <v>51</v>
      </c>
      <c r="D31" s="28" t="s">
        <v>275</v>
      </c>
      <c r="E31" s="28" t="s">
        <v>276</v>
      </c>
      <c r="F31" s="28" t="s">
        <v>240</v>
      </c>
      <c r="G31" s="28" t="s">
        <v>277</v>
      </c>
      <c r="H31" s="28" t="s">
        <v>278</v>
      </c>
      <c r="I31" s="28" t="s">
        <v>279</v>
      </c>
      <c r="J31" s="28" t="s">
        <v>280</v>
      </c>
      <c r="K31" s="30" t="s">
        <v>133</v>
      </c>
      <c r="L31" s="30" t="s">
        <v>27</v>
      </c>
      <c r="M31" s="31" t="s">
        <v>29</v>
      </c>
      <c r="N31" s="28" t="s">
        <v>281</v>
      </c>
    </row>
    <row r="32" customFormat="false" ht="30" hidden="false" customHeight="true" outlineLevel="0" collapsed="false">
      <c r="A32" s="32" t="n">
        <v>28</v>
      </c>
      <c r="B32" s="33" t="s">
        <v>282</v>
      </c>
      <c r="C32" s="34" t="s">
        <v>51</v>
      </c>
      <c r="D32" s="34" t="s">
        <v>283</v>
      </c>
      <c r="E32" s="34" t="s">
        <v>284</v>
      </c>
      <c r="F32" s="34" t="s">
        <v>285</v>
      </c>
      <c r="G32" s="34" t="s">
        <v>286</v>
      </c>
      <c r="H32" s="34" t="s">
        <v>287</v>
      </c>
      <c r="I32" s="34" t="s">
        <v>288</v>
      </c>
      <c r="J32" s="34" t="s">
        <v>288</v>
      </c>
      <c r="K32" s="29" t="s">
        <v>89</v>
      </c>
      <c r="L32" s="35" t="s">
        <v>31</v>
      </c>
      <c r="M32" s="35" t="s">
        <v>31</v>
      </c>
      <c r="N32" s="34" t="s">
        <v>289</v>
      </c>
    </row>
    <row r="33" customFormat="false" ht="45" hidden="false" customHeight="true" outlineLevel="0" collapsed="false">
      <c r="A33" s="26" t="n">
        <v>29</v>
      </c>
      <c r="B33" s="27" t="s">
        <v>290</v>
      </c>
      <c r="C33" s="28" t="s">
        <v>53</v>
      </c>
      <c r="D33" s="28" t="s">
        <v>291</v>
      </c>
      <c r="E33" s="28" t="s">
        <v>292</v>
      </c>
      <c r="F33" s="28" t="s">
        <v>293</v>
      </c>
      <c r="G33" s="28" t="s">
        <v>294</v>
      </c>
      <c r="H33" s="28" t="s">
        <v>114</v>
      </c>
      <c r="I33" s="28" t="s">
        <v>295</v>
      </c>
      <c r="J33" s="28" t="s">
        <v>295</v>
      </c>
      <c r="K33" s="29" t="s">
        <v>89</v>
      </c>
      <c r="L33" s="35" t="s">
        <v>31</v>
      </c>
      <c r="M33" s="31" t="s">
        <v>29</v>
      </c>
      <c r="N33" s="28" t="s">
        <v>114</v>
      </c>
    </row>
    <row r="34" customFormat="false" ht="30" hidden="false" customHeight="true" outlineLevel="0" collapsed="false">
      <c r="A34" s="32" t="n">
        <v>30</v>
      </c>
      <c r="B34" s="33" t="s">
        <v>296</v>
      </c>
      <c r="C34" s="34" t="s">
        <v>53</v>
      </c>
      <c r="D34" s="34" t="s">
        <v>297</v>
      </c>
      <c r="E34" s="34" t="s">
        <v>298</v>
      </c>
      <c r="F34" s="34" t="s">
        <v>299</v>
      </c>
      <c r="G34" s="34" t="s">
        <v>300</v>
      </c>
      <c r="H34" s="34" t="s">
        <v>301</v>
      </c>
      <c r="I34" s="34" t="s">
        <v>302</v>
      </c>
      <c r="J34" s="34" t="s">
        <v>302</v>
      </c>
      <c r="K34" s="29" t="s">
        <v>89</v>
      </c>
      <c r="L34" s="36" t="s">
        <v>33</v>
      </c>
      <c r="M34" s="35" t="s">
        <v>31</v>
      </c>
      <c r="N34" s="34" t="s">
        <v>114</v>
      </c>
    </row>
    <row r="35" customFormat="false" ht="60" hidden="false" customHeight="true" outlineLevel="0" collapsed="false">
      <c r="A35" s="26" t="n">
        <v>31</v>
      </c>
      <c r="B35" s="27" t="s">
        <v>303</v>
      </c>
      <c r="C35" s="28" t="s">
        <v>53</v>
      </c>
      <c r="D35" s="28" t="s">
        <v>304</v>
      </c>
      <c r="E35" s="28" t="s">
        <v>305</v>
      </c>
      <c r="F35" s="28" t="s">
        <v>240</v>
      </c>
      <c r="G35" s="28" t="s">
        <v>306</v>
      </c>
      <c r="H35" s="28" t="s">
        <v>307</v>
      </c>
      <c r="I35" s="28" t="s">
        <v>308</v>
      </c>
      <c r="J35" s="28" t="s">
        <v>308</v>
      </c>
      <c r="K35" s="29" t="s">
        <v>89</v>
      </c>
      <c r="L35" s="30" t="s">
        <v>27</v>
      </c>
      <c r="M35" s="31" t="s">
        <v>29</v>
      </c>
      <c r="N35" s="28" t="s">
        <v>114</v>
      </c>
    </row>
    <row r="36" customFormat="false" ht="30" hidden="false" customHeight="true" outlineLevel="0" collapsed="false">
      <c r="A36" s="32" t="n">
        <v>32</v>
      </c>
      <c r="B36" s="33" t="s">
        <v>309</v>
      </c>
      <c r="C36" s="34" t="s">
        <v>53</v>
      </c>
      <c r="D36" s="34" t="s">
        <v>310</v>
      </c>
      <c r="E36" s="34" t="s">
        <v>311</v>
      </c>
      <c r="F36" s="34" t="s">
        <v>240</v>
      </c>
      <c r="G36" s="34" t="s">
        <v>312</v>
      </c>
      <c r="H36" s="34" t="s">
        <v>313</v>
      </c>
      <c r="I36" s="34" t="s">
        <v>314</v>
      </c>
      <c r="J36" s="34" t="s">
        <v>314</v>
      </c>
      <c r="K36" s="29" t="s">
        <v>89</v>
      </c>
      <c r="L36" s="35" t="s">
        <v>31</v>
      </c>
      <c r="M36" s="31" t="s">
        <v>29</v>
      </c>
      <c r="N36" s="34" t="s">
        <v>195</v>
      </c>
    </row>
    <row r="37" customFormat="false" ht="30" hidden="false" customHeight="true" outlineLevel="0" collapsed="false">
      <c r="A37" s="26" t="n">
        <v>33</v>
      </c>
      <c r="B37" s="27" t="s">
        <v>315</v>
      </c>
      <c r="C37" s="28" t="s">
        <v>53</v>
      </c>
      <c r="D37" s="28" t="s">
        <v>316</v>
      </c>
      <c r="E37" s="28" t="s">
        <v>317</v>
      </c>
      <c r="F37" s="28" t="s">
        <v>318</v>
      </c>
      <c r="G37" s="28" t="s">
        <v>319</v>
      </c>
      <c r="H37" s="28" t="s">
        <v>320</v>
      </c>
      <c r="I37" s="28" t="s">
        <v>321</v>
      </c>
      <c r="J37" s="28" t="s">
        <v>321</v>
      </c>
      <c r="K37" s="29" t="s">
        <v>89</v>
      </c>
      <c r="L37" s="35" t="s">
        <v>31</v>
      </c>
      <c r="M37" s="35" t="s">
        <v>31</v>
      </c>
      <c r="N37" s="28" t="s">
        <v>114</v>
      </c>
    </row>
    <row r="38" customFormat="false" ht="45" hidden="false" customHeight="true" outlineLevel="0" collapsed="false">
      <c r="A38" s="32" t="n">
        <v>34</v>
      </c>
      <c r="B38" s="33" t="s">
        <v>322</v>
      </c>
      <c r="C38" s="34" t="s">
        <v>53</v>
      </c>
      <c r="D38" s="34" t="s">
        <v>323</v>
      </c>
      <c r="E38" s="34" t="s">
        <v>324</v>
      </c>
      <c r="F38" s="34" t="s">
        <v>325</v>
      </c>
      <c r="G38" s="34" t="s">
        <v>326</v>
      </c>
      <c r="H38" s="34" t="s">
        <v>327</v>
      </c>
      <c r="I38" s="34" t="s">
        <v>328</v>
      </c>
      <c r="J38" s="34" t="s">
        <v>328</v>
      </c>
      <c r="K38" s="29" t="s">
        <v>89</v>
      </c>
      <c r="L38" s="31" t="s">
        <v>29</v>
      </c>
      <c r="M38" s="31" t="s">
        <v>29</v>
      </c>
      <c r="N38" s="34" t="s">
        <v>114</v>
      </c>
    </row>
    <row r="39" customFormat="false" ht="45" hidden="false" customHeight="true" outlineLevel="0" collapsed="false">
      <c r="A39" s="26" t="n">
        <v>35</v>
      </c>
      <c r="B39" s="27" t="s">
        <v>329</v>
      </c>
      <c r="C39" s="28" t="s">
        <v>53</v>
      </c>
      <c r="D39" s="28" t="s">
        <v>330</v>
      </c>
      <c r="E39" s="28" t="s">
        <v>331</v>
      </c>
      <c r="F39" s="28" t="s">
        <v>332</v>
      </c>
      <c r="G39" s="28" t="s">
        <v>333</v>
      </c>
      <c r="H39" s="28" t="s">
        <v>334</v>
      </c>
      <c r="I39" s="28" t="s">
        <v>335</v>
      </c>
      <c r="J39" s="28" t="s">
        <v>335</v>
      </c>
      <c r="K39" s="29" t="s">
        <v>89</v>
      </c>
      <c r="L39" s="36" t="s">
        <v>33</v>
      </c>
      <c r="M39" s="35" t="s">
        <v>31</v>
      </c>
      <c r="N39" s="28" t="s">
        <v>114</v>
      </c>
    </row>
    <row r="40" customFormat="false" ht="30" hidden="false" customHeight="true" outlineLevel="0" collapsed="false">
      <c r="A40" s="32" t="n">
        <v>36</v>
      </c>
      <c r="B40" s="33" t="s">
        <v>336</v>
      </c>
      <c r="C40" s="34" t="s">
        <v>53</v>
      </c>
      <c r="D40" s="34" t="s">
        <v>337</v>
      </c>
      <c r="E40" s="34" t="s">
        <v>338</v>
      </c>
      <c r="F40" s="34" t="s">
        <v>339</v>
      </c>
      <c r="G40" s="34" t="s">
        <v>340</v>
      </c>
      <c r="H40" s="34" t="s">
        <v>320</v>
      </c>
      <c r="I40" s="34" t="s">
        <v>341</v>
      </c>
      <c r="J40" s="34" t="s">
        <v>341</v>
      </c>
      <c r="K40" s="29" t="s">
        <v>89</v>
      </c>
      <c r="L40" s="31" t="s">
        <v>29</v>
      </c>
      <c r="M40" s="35" t="s">
        <v>31</v>
      </c>
      <c r="N40" s="34" t="s">
        <v>114</v>
      </c>
    </row>
    <row r="41" customFormat="false" ht="30" hidden="false" customHeight="true" outlineLevel="0" collapsed="false">
      <c r="A41" s="26" t="n">
        <v>37</v>
      </c>
      <c r="B41" s="27" t="s">
        <v>342</v>
      </c>
      <c r="C41" s="28" t="s">
        <v>53</v>
      </c>
      <c r="D41" s="28" t="s">
        <v>343</v>
      </c>
      <c r="E41" s="28" t="s">
        <v>344</v>
      </c>
      <c r="F41" s="28" t="s">
        <v>240</v>
      </c>
      <c r="G41" s="28" t="s">
        <v>345</v>
      </c>
      <c r="H41" s="28" t="s">
        <v>346</v>
      </c>
      <c r="I41" s="28" t="s">
        <v>347</v>
      </c>
      <c r="J41" s="28" t="s">
        <v>348</v>
      </c>
      <c r="K41" s="37" t="s">
        <v>150</v>
      </c>
      <c r="L41" s="35" t="s">
        <v>31</v>
      </c>
      <c r="M41" s="35" t="s">
        <v>31</v>
      </c>
      <c r="N41" s="28" t="s">
        <v>349</v>
      </c>
    </row>
    <row r="42" customFormat="false" ht="30" hidden="false" customHeight="true" outlineLevel="0" collapsed="false">
      <c r="A42" s="32" t="n">
        <v>38</v>
      </c>
      <c r="B42" s="33" t="s">
        <v>350</v>
      </c>
      <c r="C42" s="34" t="s">
        <v>53</v>
      </c>
      <c r="D42" s="34" t="s">
        <v>351</v>
      </c>
      <c r="E42" s="34" t="s">
        <v>352</v>
      </c>
      <c r="F42" s="34" t="s">
        <v>240</v>
      </c>
      <c r="G42" s="34" t="s">
        <v>353</v>
      </c>
      <c r="H42" s="34" t="s">
        <v>354</v>
      </c>
      <c r="I42" s="34" t="s">
        <v>355</v>
      </c>
      <c r="J42" s="34" t="s">
        <v>356</v>
      </c>
      <c r="K42" s="30" t="s">
        <v>133</v>
      </c>
      <c r="L42" s="35" t="s">
        <v>31</v>
      </c>
      <c r="M42" s="35" t="s">
        <v>31</v>
      </c>
      <c r="N42" s="34" t="s">
        <v>244</v>
      </c>
    </row>
    <row r="43" customFormat="false" ht="30" hidden="false" customHeight="true" outlineLevel="0" collapsed="false">
      <c r="A43" s="26" t="n">
        <v>39</v>
      </c>
      <c r="B43" s="27" t="s">
        <v>357</v>
      </c>
      <c r="C43" s="28" t="s">
        <v>53</v>
      </c>
      <c r="D43" s="28" t="s">
        <v>358</v>
      </c>
      <c r="E43" s="28" t="s">
        <v>359</v>
      </c>
      <c r="F43" s="28" t="s">
        <v>102</v>
      </c>
      <c r="G43" s="28" t="s">
        <v>360</v>
      </c>
      <c r="H43" s="28" t="s">
        <v>361</v>
      </c>
      <c r="I43" s="28" t="s">
        <v>362</v>
      </c>
      <c r="J43" s="28" t="s">
        <v>362</v>
      </c>
      <c r="K43" s="29" t="s">
        <v>89</v>
      </c>
      <c r="L43" s="30" t="s">
        <v>27</v>
      </c>
      <c r="M43" s="31" t="s">
        <v>29</v>
      </c>
      <c r="N43" s="28" t="s">
        <v>164</v>
      </c>
    </row>
    <row r="44" customFormat="false" ht="30" hidden="false" customHeight="true" outlineLevel="0" collapsed="false">
      <c r="A44" s="32" t="n">
        <v>40</v>
      </c>
      <c r="B44" s="33" t="s">
        <v>363</v>
      </c>
      <c r="C44" s="34" t="s">
        <v>53</v>
      </c>
      <c r="D44" s="34" t="s">
        <v>364</v>
      </c>
      <c r="E44" s="34" t="s">
        <v>365</v>
      </c>
      <c r="F44" s="34" t="s">
        <v>366</v>
      </c>
      <c r="G44" s="34" t="s">
        <v>367</v>
      </c>
      <c r="H44" s="34" t="s">
        <v>368</v>
      </c>
      <c r="I44" s="34" t="s">
        <v>369</v>
      </c>
      <c r="J44" s="34" t="s">
        <v>369</v>
      </c>
      <c r="K44" s="29" t="s">
        <v>89</v>
      </c>
      <c r="L44" s="35" t="s">
        <v>31</v>
      </c>
      <c r="M44" s="35" t="s">
        <v>31</v>
      </c>
      <c r="N44" s="34" t="s">
        <v>195</v>
      </c>
    </row>
    <row r="45" customFormat="false" ht="30" hidden="false" customHeight="true" outlineLevel="0" collapsed="false">
      <c r="A45" s="26" t="n">
        <v>41</v>
      </c>
      <c r="B45" s="27" t="s">
        <v>370</v>
      </c>
      <c r="C45" s="28" t="s">
        <v>53</v>
      </c>
      <c r="D45" s="28" t="s">
        <v>371</v>
      </c>
      <c r="E45" s="28" t="s">
        <v>372</v>
      </c>
      <c r="F45" s="28" t="s">
        <v>373</v>
      </c>
      <c r="G45" s="28" t="s">
        <v>374</v>
      </c>
      <c r="H45" s="28" t="s">
        <v>375</v>
      </c>
      <c r="I45" s="28" t="s">
        <v>376</v>
      </c>
      <c r="J45" s="28" t="s">
        <v>377</v>
      </c>
      <c r="K45" s="30" t="s">
        <v>133</v>
      </c>
      <c r="L45" s="31" t="s">
        <v>29</v>
      </c>
      <c r="M45" s="31" t="s">
        <v>29</v>
      </c>
      <c r="N45" s="28" t="s">
        <v>378</v>
      </c>
    </row>
    <row r="46" customFormat="false" ht="45" hidden="false" customHeight="true" outlineLevel="0" collapsed="false">
      <c r="A46" s="32" t="n">
        <v>42</v>
      </c>
      <c r="B46" s="33" t="s">
        <v>379</v>
      </c>
      <c r="C46" s="34" t="s">
        <v>55</v>
      </c>
      <c r="D46" s="34" t="s">
        <v>380</v>
      </c>
      <c r="E46" s="34" t="s">
        <v>381</v>
      </c>
      <c r="F46" s="34" t="s">
        <v>382</v>
      </c>
      <c r="G46" s="34" t="s">
        <v>383</v>
      </c>
      <c r="H46" s="34" t="s">
        <v>114</v>
      </c>
      <c r="I46" s="34" t="s">
        <v>384</v>
      </c>
      <c r="J46" s="34" t="s">
        <v>384</v>
      </c>
      <c r="K46" s="29" t="s">
        <v>89</v>
      </c>
      <c r="L46" s="31" t="s">
        <v>29</v>
      </c>
      <c r="M46" s="31" t="s">
        <v>29</v>
      </c>
      <c r="N46" s="34" t="s">
        <v>114</v>
      </c>
    </row>
    <row r="47" customFormat="false" ht="30" hidden="false" customHeight="true" outlineLevel="0" collapsed="false">
      <c r="A47" s="26" t="n">
        <v>43</v>
      </c>
      <c r="B47" s="27" t="s">
        <v>385</v>
      </c>
      <c r="C47" s="28" t="s">
        <v>55</v>
      </c>
      <c r="D47" s="28" t="s">
        <v>386</v>
      </c>
      <c r="E47" s="28" t="s">
        <v>387</v>
      </c>
      <c r="F47" s="28" t="s">
        <v>388</v>
      </c>
      <c r="G47" s="28" t="s">
        <v>389</v>
      </c>
      <c r="H47" s="28" t="s">
        <v>390</v>
      </c>
      <c r="I47" s="28" t="s">
        <v>391</v>
      </c>
      <c r="J47" s="28" t="s">
        <v>391</v>
      </c>
      <c r="K47" s="29" t="s">
        <v>89</v>
      </c>
      <c r="L47" s="35" t="s">
        <v>31</v>
      </c>
      <c r="M47" s="31" t="s">
        <v>29</v>
      </c>
      <c r="N47" s="28" t="s">
        <v>114</v>
      </c>
    </row>
    <row r="48" customFormat="false" ht="30" hidden="false" customHeight="true" outlineLevel="0" collapsed="false">
      <c r="A48" s="32" t="n">
        <v>44</v>
      </c>
      <c r="B48" s="33" t="s">
        <v>392</v>
      </c>
      <c r="C48" s="34" t="s">
        <v>55</v>
      </c>
      <c r="D48" s="34" t="s">
        <v>393</v>
      </c>
      <c r="E48" s="34" t="s">
        <v>394</v>
      </c>
      <c r="F48" s="34" t="s">
        <v>395</v>
      </c>
      <c r="G48" s="34" t="s">
        <v>396</v>
      </c>
      <c r="H48" s="34" t="s">
        <v>397</v>
      </c>
      <c r="I48" s="34" t="s">
        <v>398</v>
      </c>
      <c r="J48" s="34" t="s">
        <v>398</v>
      </c>
      <c r="K48" s="29" t="s">
        <v>89</v>
      </c>
      <c r="L48" s="36" t="s">
        <v>33</v>
      </c>
      <c r="M48" s="35" t="s">
        <v>31</v>
      </c>
      <c r="N48" s="34" t="s">
        <v>114</v>
      </c>
    </row>
    <row r="49" customFormat="false" ht="60" hidden="false" customHeight="true" outlineLevel="0" collapsed="false">
      <c r="A49" s="26" t="n">
        <v>45</v>
      </c>
      <c r="B49" s="27" t="s">
        <v>399</v>
      </c>
      <c r="C49" s="28" t="s">
        <v>55</v>
      </c>
      <c r="D49" s="28" t="s">
        <v>400</v>
      </c>
      <c r="E49" s="28" t="s">
        <v>401</v>
      </c>
      <c r="F49" s="28" t="s">
        <v>402</v>
      </c>
      <c r="G49" s="28" t="s">
        <v>403</v>
      </c>
      <c r="H49" s="28" t="s">
        <v>404</v>
      </c>
      <c r="I49" s="28" t="s">
        <v>405</v>
      </c>
      <c r="J49" s="28" t="s">
        <v>405</v>
      </c>
      <c r="K49" s="29" t="s">
        <v>89</v>
      </c>
      <c r="L49" s="35" t="s">
        <v>31</v>
      </c>
      <c r="M49" s="35" t="s">
        <v>31</v>
      </c>
      <c r="N49" s="28" t="s">
        <v>406</v>
      </c>
    </row>
    <row r="50" customFormat="false" ht="60" hidden="false" customHeight="true" outlineLevel="0" collapsed="false">
      <c r="A50" s="32" t="n">
        <v>46</v>
      </c>
      <c r="B50" s="33" t="s">
        <v>407</v>
      </c>
      <c r="C50" s="34" t="s">
        <v>55</v>
      </c>
      <c r="D50" s="34" t="s">
        <v>408</v>
      </c>
      <c r="E50" s="34" t="s">
        <v>409</v>
      </c>
      <c r="F50" s="34" t="s">
        <v>410</v>
      </c>
      <c r="G50" s="34" t="s">
        <v>411</v>
      </c>
      <c r="H50" s="34" t="s">
        <v>412</v>
      </c>
      <c r="I50" s="34" t="s">
        <v>413</v>
      </c>
      <c r="J50" s="34" t="s">
        <v>413</v>
      </c>
      <c r="K50" s="29" t="s">
        <v>89</v>
      </c>
      <c r="L50" s="30" t="s">
        <v>27</v>
      </c>
      <c r="M50" s="31" t="s">
        <v>29</v>
      </c>
      <c r="N50" s="34" t="s">
        <v>414</v>
      </c>
    </row>
    <row r="51" customFormat="false" ht="30" hidden="false" customHeight="true" outlineLevel="0" collapsed="false">
      <c r="A51" s="26" t="n">
        <v>47</v>
      </c>
      <c r="B51" s="27" t="s">
        <v>415</v>
      </c>
      <c r="C51" s="28" t="s">
        <v>55</v>
      </c>
      <c r="D51" s="28" t="s">
        <v>416</v>
      </c>
      <c r="E51" s="28" t="s">
        <v>417</v>
      </c>
      <c r="F51" s="28" t="s">
        <v>240</v>
      </c>
      <c r="G51" s="28" t="s">
        <v>418</v>
      </c>
      <c r="H51" s="28" t="s">
        <v>419</v>
      </c>
      <c r="I51" s="28" t="s">
        <v>420</v>
      </c>
      <c r="J51" s="28" t="s">
        <v>420</v>
      </c>
      <c r="K51" s="29" t="s">
        <v>89</v>
      </c>
      <c r="L51" s="31" t="s">
        <v>29</v>
      </c>
      <c r="M51" s="31" t="s">
        <v>29</v>
      </c>
      <c r="N51" s="28" t="s">
        <v>259</v>
      </c>
    </row>
    <row r="52" customFormat="false" ht="45" hidden="false" customHeight="true" outlineLevel="0" collapsed="false">
      <c r="A52" s="32" t="n">
        <v>48</v>
      </c>
      <c r="B52" s="33" t="s">
        <v>421</v>
      </c>
      <c r="C52" s="34" t="s">
        <v>55</v>
      </c>
      <c r="D52" s="34" t="s">
        <v>422</v>
      </c>
      <c r="E52" s="34" t="s">
        <v>423</v>
      </c>
      <c r="F52" s="34" t="s">
        <v>424</v>
      </c>
      <c r="G52" s="34" t="s">
        <v>425</v>
      </c>
      <c r="H52" s="34" t="s">
        <v>426</v>
      </c>
      <c r="I52" s="34" t="s">
        <v>427</v>
      </c>
      <c r="J52" s="34" t="s">
        <v>427</v>
      </c>
      <c r="K52" s="29" t="s">
        <v>89</v>
      </c>
      <c r="L52" s="31" t="s">
        <v>29</v>
      </c>
      <c r="M52" s="31" t="s">
        <v>29</v>
      </c>
      <c r="N52" s="34" t="s">
        <v>114</v>
      </c>
    </row>
    <row r="53" customFormat="false" ht="45" hidden="false" customHeight="true" outlineLevel="0" collapsed="false">
      <c r="A53" s="26" t="n">
        <v>49</v>
      </c>
      <c r="B53" s="27" t="s">
        <v>428</v>
      </c>
      <c r="C53" s="28" t="s">
        <v>55</v>
      </c>
      <c r="D53" s="28" t="s">
        <v>429</v>
      </c>
      <c r="E53" s="28" t="s">
        <v>430</v>
      </c>
      <c r="F53" s="28" t="s">
        <v>431</v>
      </c>
      <c r="G53" s="28" t="s">
        <v>432</v>
      </c>
      <c r="H53" s="28" t="s">
        <v>433</v>
      </c>
      <c r="I53" s="28" t="s">
        <v>434</v>
      </c>
      <c r="J53" s="28" t="s">
        <v>434</v>
      </c>
      <c r="K53" s="29" t="s">
        <v>89</v>
      </c>
      <c r="L53" s="35" t="s">
        <v>31</v>
      </c>
      <c r="M53" s="35" t="s">
        <v>31</v>
      </c>
      <c r="N53" s="28" t="s">
        <v>114</v>
      </c>
    </row>
    <row r="54" customFormat="false" ht="60" hidden="false" customHeight="true" outlineLevel="0" collapsed="false">
      <c r="A54" s="32" t="n">
        <v>50</v>
      </c>
      <c r="B54" s="33" t="s">
        <v>435</v>
      </c>
      <c r="C54" s="34" t="s">
        <v>55</v>
      </c>
      <c r="D54" s="34" t="s">
        <v>436</v>
      </c>
      <c r="E54" s="34" t="s">
        <v>437</v>
      </c>
      <c r="F54" s="34" t="s">
        <v>438</v>
      </c>
      <c r="G54" s="34" t="s">
        <v>439</v>
      </c>
      <c r="H54" s="34" t="s">
        <v>440</v>
      </c>
      <c r="I54" s="34" t="s">
        <v>441</v>
      </c>
      <c r="J54" s="34" t="s">
        <v>441</v>
      </c>
      <c r="K54" s="29" t="s">
        <v>89</v>
      </c>
      <c r="L54" s="30" t="s">
        <v>27</v>
      </c>
      <c r="M54" s="31" t="s">
        <v>29</v>
      </c>
      <c r="N54" s="34" t="s">
        <v>442</v>
      </c>
    </row>
    <row r="55" customFormat="false" ht="45" hidden="false" customHeight="true" outlineLevel="0" collapsed="false">
      <c r="A55" s="26" t="n">
        <v>51</v>
      </c>
      <c r="B55" s="27" t="s">
        <v>443</v>
      </c>
      <c r="C55" s="28" t="s">
        <v>55</v>
      </c>
      <c r="D55" s="28" t="s">
        <v>444</v>
      </c>
      <c r="E55" s="28" t="s">
        <v>445</v>
      </c>
      <c r="F55" s="28" t="s">
        <v>446</v>
      </c>
      <c r="G55" s="28" t="s">
        <v>447</v>
      </c>
      <c r="H55" s="28" t="s">
        <v>448</v>
      </c>
      <c r="I55" s="28" t="s">
        <v>449</v>
      </c>
      <c r="J55" s="28" t="s">
        <v>449</v>
      </c>
      <c r="K55" s="29" t="s">
        <v>89</v>
      </c>
      <c r="L55" s="30" t="s">
        <v>27</v>
      </c>
      <c r="M55" s="31" t="s">
        <v>29</v>
      </c>
      <c r="N55" s="28" t="s">
        <v>442</v>
      </c>
    </row>
    <row r="56" customFormat="false" ht="45" hidden="false" customHeight="true" outlineLevel="0" collapsed="false">
      <c r="A56" s="32" t="n">
        <v>52</v>
      </c>
      <c r="B56" s="33" t="s">
        <v>450</v>
      </c>
      <c r="C56" s="34" t="s">
        <v>55</v>
      </c>
      <c r="D56" s="34" t="s">
        <v>451</v>
      </c>
      <c r="E56" s="34" t="s">
        <v>452</v>
      </c>
      <c r="F56" s="34" t="s">
        <v>453</v>
      </c>
      <c r="G56" s="34" t="s">
        <v>454</v>
      </c>
      <c r="H56" s="34" t="s">
        <v>455</v>
      </c>
      <c r="I56" s="34" t="s">
        <v>456</v>
      </c>
      <c r="J56" s="34" t="s">
        <v>456</v>
      </c>
      <c r="K56" s="29" t="s">
        <v>89</v>
      </c>
      <c r="L56" s="30" t="s">
        <v>27</v>
      </c>
      <c r="M56" s="31" t="s">
        <v>29</v>
      </c>
      <c r="N56" s="34" t="s">
        <v>442</v>
      </c>
    </row>
    <row r="57" customFormat="false" ht="60" hidden="false" customHeight="true" outlineLevel="0" collapsed="false">
      <c r="A57" s="26" t="n">
        <v>53</v>
      </c>
      <c r="B57" s="27" t="s">
        <v>457</v>
      </c>
      <c r="C57" s="28" t="s">
        <v>55</v>
      </c>
      <c r="D57" s="28" t="s">
        <v>458</v>
      </c>
      <c r="E57" s="28" t="s">
        <v>459</v>
      </c>
      <c r="F57" s="28" t="s">
        <v>460</v>
      </c>
      <c r="G57" s="28" t="s">
        <v>461</v>
      </c>
      <c r="H57" s="28" t="s">
        <v>462</v>
      </c>
      <c r="I57" s="28" t="s">
        <v>463</v>
      </c>
      <c r="J57" s="28" t="s">
        <v>463</v>
      </c>
      <c r="K57" s="29" t="s">
        <v>89</v>
      </c>
      <c r="L57" s="30" t="s">
        <v>27</v>
      </c>
      <c r="M57" s="31" t="s">
        <v>29</v>
      </c>
      <c r="N57" s="28" t="s">
        <v>464</v>
      </c>
    </row>
    <row r="58" customFormat="false" ht="45" hidden="false" customHeight="true" outlineLevel="0" collapsed="false">
      <c r="A58" s="32" t="n">
        <v>54</v>
      </c>
      <c r="B58" s="33" t="s">
        <v>465</v>
      </c>
      <c r="C58" s="34" t="s">
        <v>55</v>
      </c>
      <c r="D58" s="34" t="s">
        <v>466</v>
      </c>
      <c r="E58" s="34" t="s">
        <v>467</v>
      </c>
      <c r="F58" s="34" t="s">
        <v>468</v>
      </c>
      <c r="G58" s="34" t="s">
        <v>469</v>
      </c>
      <c r="H58" s="34" t="s">
        <v>470</v>
      </c>
      <c r="I58" s="34" t="s">
        <v>471</v>
      </c>
      <c r="J58" s="34" t="s">
        <v>471</v>
      </c>
      <c r="K58" s="29" t="s">
        <v>89</v>
      </c>
      <c r="L58" s="31" t="s">
        <v>29</v>
      </c>
      <c r="M58" s="31" t="s">
        <v>29</v>
      </c>
      <c r="N58" s="34" t="s">
        <v>442</v>
      </c>
    </row>
    <row r="59" customFormat="false" ht="45" hidden="false" customHeight="true" outlineLevel="0" collapsed="false">
      <c r="A59" s="26" t="n">
        <v>55</v>
      </c>
      <c r="B59" s="27" t="s">
        <v>472</v>
      </c>
      <c r="C59" s="28" t="s">
        <v>55</v>
      </c>
      <c r="D59" s="28" t="s">
        <v>473</v>
      </c>
      <c r="E59" s="28" t="s">
        <v>474</v>
      </c>
      <c r="F59" s="28" t="s">
        <v>438</v>
      </c>
      <c r="G59" s="28" t="s">
        <v>475</v>
      </c>
      <c r="H59" s="28" t="s">
        <v>462</v>
      </c>
      <c r="I59" s="28" t="s">
        <v>476</v>
      </c>
      <c r="J59" s="28" t="s">
        <v>477</v>
      </c>
      <c r="K59" s="30" t="s">
        <v>133</v>
      </c>
      <c r="L59" s="30" t="s">
        <v>27</v>
      </c>
      <c r="M59" s="31" t="s">
        <v>29</v>
      </c>
      <c r="N59" s="28" t="s">
        <v>478</v>
      </c>
    </row>
    <row r="60" customFormat="false" ht="30" hidden="false" customHeight="true" outlineLevel="0" collapsed="false">
      <c r="A60" s="32" t="n">
        <v>56</v>
      </c>
      <c r="B60" s="33" t="s">
        <v>479</v>
      </c>
      <c r="C60" s="34" t="s">
        <v>55</v>
      </c>
      <c r="D60" s="34" t="s">
        <v>480</v>
      </c>
      <c r="E60" s="34" t="s">
        <v>481</v>
      </c>
      <c r="F60" s="34" t="s">
        <v>482</v>
      </c>
      <c r="G60" s="34" t="s">
        <v>483</v>
      </c>
      <c r="H60" s="34" t="s">
        <v>484</v>
      </c>
      <c r="I60" s="34" t="s">
        <v>485</v>
      </c>
      <c r="J60" s="34" t="s">
        <v>485</v>
      </c>
      <c r="K60" s="29" t="s">
        <v>89</v>
      </c>
      <c r="L60" s="31" t="s">
        <v>29</v>
      </c>
      <c r="M60" s="31" t="s">
        <v>29</v>
      </c>
      <c r="N60" s="34" t="s">
        <v>486</v>
      </c>
    </row>
    <row r="61" customFormat="false" ht="45" hidden="false" customHeight="true" outlineLevel="0" collapsed="false">
      <c r="A61" s="26" t="n">
        <v>57</v>
      </c>
      <c r="B61" s="27" t="s">
        <v>487</v>
      </c>
      <c r="C61" s="28" t="s">
        <v>55</v>
      </c>
      <c r="D61" s="28" t="s">
        <v>488</v>
      </c>
      <c r="E61" s="28" t="s">
        <v>489</v>
      </c>
      <c r="F61" s="28" t="s">
        <v>424</v>
      </c>
      <c r="G61" s="28" t="s">
        <v>490</v>
      </c>
      <c r="H61" s="28" t="s">
        <v>426</v>
      </c>
      <c r="I61" s="28" t="s">
        <v>491</v>
      </c>
      <c r="J61" s="28" t="s">
        <v>491</v>
      </c>
      <c r="K61" s="29" t="s">
        <v>89</v>
      </c>
      <c r="L61" s="35" t="s">
        <v>31</v>
      </c>
      <c r="M61" s="35" t="s">
        <v>31</v>
      </c>
      <c r="N61" s="28" t="s">
        <v>114</v>
      </c>
    </row>
    <row r="62" customFormat="false" ht="45" hidden="false" customHeight="true" outlineLevel="0" collapsed="false">
      <c r="A62" s="32" t="n">
        <v>58</v>
      </c>
      <c r="B62" s="33" t="s">
        <v>492</v>
      </c>
      <c r="C62" s="34" t="s">
        <v>55</v>
      </c>
      <c r="D62" s="34" t="s">
        <v>493</v>
      </c>
      <c r="E62" s="34" t="s">
        <v>494</v>
      </c>
      <c r="F62" s="34" t="s">
        <v>495</v>
      </c>
      <c r="G62" s="34" t="s">
        <v>496</v>
      </c>
      <c r="H62" s="34" t="s">
        <v>426</v>
      </c>
      <c r="I62" s="34" t="s">
        <v>497</v>
      </c>
      <c r="J62" s="34" t="s">
        <v>497</v>
      </c>
      <c r="K62" s="29" t="s">
        <v>89</v>
      </c>
      <c r="L62" s="31" t="s">
        <v>29</v>
      </c>
      <c r="M62" s="35" t="s">
        <v>31</v>
      </c>
      <c r="N62" s="34" t="s">
        <v>114</v>
      </c>
    </row>
    <row r="63" customFormat="false" ht="30" hidden="false" customHeight="true" outlineLevel="0" collapsed="false">
      <c r="A63" s="26" t="n">
        <v>59</v>
      </c>
      <c r="B63" s="27" t="s">
        <v>498</v>
      </c>
      <c r="C63" s="28" t="s">
        <v>55</v>
      </c>
      <c r="D63" s="28" t="s">
        <v>499</v>
      </c>
      <c r="E63" s="28" t="s">
        <v>500</v>
      </c>
      <c r="F63" s="28" t="s">
        <v>501</v>
      </c>
      <c r="G63" s="28" t="s">
        <v>502</v>
      </c>
      <c r="H63" s="28" t="s">
        <v>503</v>
      </c>
      <c r="I63" s="28" t="s">
        <v>504</v>
      </c>
      <c r="J63" s="28" t="s">
        <v>505</v>
      </c>
      <c r="K63" s="37" t="s">
        <v>150</v>
      </c>
      <c r="L63" s="31" t="s">
        <v>29</v>
      </c>
      <c r="M63" s="31" t="s">
        <v>29</v>
      </c>
      <c r="N63" s="28" t="s">
        <v>506</v>
      </c>
    </row>
    <row r="64" customFormat="false" ht="30" hidden="false" customHeight="true" outlineLevel="0" collapsed="false">
      <c r="A64" s="32" t="n">
        <v>60</v>
      </c>
      <c r="B64" s="33" t="s">
        <v>507</v>
      </c>
      <c r="C64" s="34" t="s">
        <v>55</v>
      </c>
      <c r="D64" s="34" t="s">
        <v>508</v>
      </c>
      <c r="E64" s="34" t="s">
        <v>509</v>
      </c>
      <c r="F64" s="34" t="s">
        <v>240</v>
      </c>
      <c r="G64" s="34" t="s">
        <v>510</v>
      </c>
      <c r="H64" s="34" t="s">
        <v>368</v>
      </c>
      <c r="I64" s="34" t="s">
        <v>511</v>
      </c>
      <c r="J64" s="34" t="s">
        <v>511</v>
      </c>
      <c r="K64" s="29" t="s">
        <v>89</v>
      </c>
      <c r="L64" s="31" t="s">
        <v>29</v>
      </c>
      <c r="M64" s="31" t="s">
        <v>29</v>
      </c>
      <c r="N64" s="34" t="s">
        <v>195</v>
      </c>
    </row>
    <row r="65" customFormat="false" ht="30" hidden="false" customHeight="true" outlineLevel="0" collapsed="false">
      <c r="A65" s="26" t="n">
        <v>61</v>
      </c>
      <c r="B65" s="27" t="s">
        <v>512</v>
      </c>
      <c r="C65" s="28" t="s">
        <v>55</v>
      </c>
      <c r="D65" s="28" t="s">
        <v>513</v>
      </c>
      <c r="E65" s="28" t="s">
        <v>514</v>
      </c>
      <c r="F65" s="28" t="s">
        <v>240</v>
      </c>
      <c r="G65" s="28" t="s">
        <v>515</v>
      </c>
      <c r="H65" s="28" t="s">
        <v>516</v>
      </c>
      <c r="I65" s="28" t="s">
        <v>517</v>
      </c>
      <c r="J65" s="28" t="s">
        <v>517</v>
      </c>
      <c r="K65" s="29" t="s">
        <v>89</v>
      </c>
      <c r="L65" s="31" t="s">
        <v>29</v>
      </c>
      <c r="M65" s="31" t="s">
        <v>29</v>
      </c>
      <c r="N65" s="28" t="s">
        <v>195</v>
      </c>
    </row>
    <row r="66" customFormat="false" ht="30" hidden="false" customHeight="true" outlineLevel="0" collapsed="false">
      <c r="A66" s="32" t="n">
        <v>62</v>
      </c>
      <c r="B66" s="33" t="s">
        <v>518</v>
      </c>
      <c r="C66" s="34" t="s">
        <v>55</v>
      </c>
      <c r="D66" s="34" t="s">
        <v>519</v>
      </c>
      <c r="E66" s="34" t="s">
        <v>520</v>
      </c>
      <c r="F66" s="34" t="s">
        <v>240</v>
      </c>
      <c r="G66" s="34" t="s">
        <v>521</v>
      </c>
      <c r="H66" s="34" t="s">
        <v>522</v>
      </c>
      <c r="I66" s="34" t="s">
        <v>523</v>
      </c>
      <c r="J66" s="34" t="s">
        <v>523</v>
      </c>
      <c r="K66" s="29" t="s">
        <v>89</v>
      </c>
      <c r="L66" s="31" t="s">
        <v>29</v>
      </c>
      <c r="M66" s="31" t="s">
        <v>29</v>
      </c>
      <c r="N66" s="34" t="s">
        <v>244</v>
      </c>
    </row>
    <row r="67" customFormat="false" ht="30" hidden="false" customHeight="true" outlineLevel="0" collapsed="false">
      <c r="A67" s="26" t="n">
        <v>63</v>
      </c>
      <c r="B67" s="27" t="s">
        <v>524</v>
      </c>
      <c r="C67" s="28" t="s">
        <v>55</v>
      </c>
      <c r="D67" s="28" t="s">
        <v>525</v>
      </c>
      <c r="E67" s="28" t="s">
        <v>526</v>
      </c>
      <c r="F67" s="28" t="s">
        <v>240</v>
      </c>
      <c r="G67" s="28" t="s">
        <v>527</v>
      </c>
      <c r="H67" s="28" t="s">
        <v>528</v>
      </c>
      <c r="I67" s="28" t="s">
        <v>529</v>
      </c>
      <c r="J67" s="28" t="s">
        <v>530</v>
      </c>
      <c r="K67" s="30" t="s">
        <v>133</v>
      </c>
      <c r="L67" s="35" t="s">
        <v>31</v>
      </c>
      <c r="M67" s="35" t="s">
        <v>31</v>
      </c>
      <c r="N67" s="28" t="s">
        <v>531</v>
      </c>
    </row>
    <row r="68" customFormat="false" ht="30" hidden="false" customHeight="true" outlineLevel="0" collapsed="false">
      <c r="A68" s="32" t="n">
        <v>64</v>
      </c>
      <c r="B68" s="33" t="s">
        <v>532</v>
      </c>
      <c r="C68" s="34" t="s">
        <v>55</v>
      </c>
      <c r="D68" s="34" t="s">
        <v>533</v>
      </c>
      <c r="E68" s="34" t="s">
        <v>534</v>
      </c>
      <c r="F68" s="34" t="s">
        <v>102</v>
      </c>
      <c r="G68" s="34" t="s">
        <v>535</v>
      </c>
      <c r="H68" s="34" t="s">
        <v>536</v>
      </c>
      <c r="I68" s="34" t="s">
        <v>537</v>
      </c>
      <c r="J68" s="34" t="s">
        <v>538</v>
      </c>
      <c r="K68" s="30" t="s">
        <v>133</v>
      </c>
      <c r="L68" s="36" t="s">
        <v>33</v>
      </c>
      <c r="M68" s="36" t="s">
        <v>33</v>
      </c>
      <c r="N68" s="34" t="s">
        <v>539</v>
      </c>
    </row>
    <row r="69" customFormat="false" ht="60" hidden="false" customHeight="true" outlineLevel="0" collapsed="false">
      <c r="A69" s="26" t="n">
        <v>65</v>
      </c>
      <c r="B69" s="27" t="s">
        <v>540</v>
      </c>
      <c r="C69" s="28" t="s">
        <v>55</v>
      </c>
      <c r="D69" s="28" t="s">
        <v>541</v>
      </c>
      <c r="E69" s="28" t="s">
        <v>542</v>
      </c>
      <c r="F69" s="28" t="s">
        <v>543</v>
      </c>
      <c r="G69" s="28" t="s">
        <v>544</v>
      </c>
      <c r="H69" s="28" t="s">
        <v>545</v>
      </c>
      <c r="I69" s="28" t="s">
        <v>546</v>
      </c>
      <c r="J69" s="28" t="s">
        <v>546</v>
      </c>
      <c r="K69" s="29" t="s">
        <v>89</v>
      </c>
      <c r="L69" s="30" t="s">
        <v>27</v>
      </c>
      <c r="M69" s="31" t="s">
        <v>29</v>
      </c>
      <c r="N69" s="28" t="s">
        <v>547</v>
      </c>
    </row>
    <row r="70" customFormat="false" ht="45" hidden="false" customHeight="true" outlineLevel="0" collapsed="false">
      <c r="A70" s="32" t="n">
        <v>66</v>
      </c>
      <c r="B70" s="33" t="s">
        <v>548</v>
      </c>
      <c r="C70" s="34" t="s">
        <v>57</v>
      </c>
      <c r="D70" s="34" t="s">
        <v>549</v>
      </c>
      <c r="E70" s="34" t="s">
        <v>550</v>
      </c>
      <c r="F70" s="34" t="s">
        <v>551</v>
      </c>
      <c r="G70" s="34" t="s">
        <v>552</v>
      </c>
      <c r="H70" s="34" t="s">
        <v>114</v>
      </c>
      <c r="I70" s="34" t="s">
        <v>553</v>
      </c>
      <c r="J70" s="34" t="s">
        <v>553</v>
      </c>
      <c r="K70" s="29" t="s">
        <v>89</v>
      </c>
      <c r="L70" s="35" t="s">
        <v>31</v>
      </c>
      <c r="M70" s="35" t="s">
        <v>31</v>
      </c>
      <c r="N70" s="34" t="s">
        <v>114</v>
      </c>
    </row>
    <row r="71" customFormat="false" ht="30" hidden="false" customHeight="true" outlineLevel="0" collapsed="false">
      <c r="A71" s="26" t="n">
        <v>67</v>
      </c>
      <c r="B71" s="27" t="s">
        <v>554</v>
      </c>
      <c r="C71" s="28" t="s">
        <v>57</v>
      </c>
      <c r="D71" s="28" t="s">
        <v>555</v>
      </c>
      <c r="E71" s="28" t="s">
        <v>556</v>
      </c>
      <c r="F71" s="28" t="s">
        <v>557</v>
      </c>
      <c r="G71" s="28" t="s">
        <v>558</v>
      </c>
      <c r="H71" s="28" t="s">
        <v>559</v>
      </c>
      <c r="I71" s="28" t="s">
        <v>560</v>
      </c>
      <c r="J71" s="28" t="s">
        <v>560</v>
      </c>
      <c r="K71" s="29" t="s">
        <v>89</v>
      </c>
      <c r="L71" s="35" t="s">
        <v>31</v>
      </c>
      <c r="M71" s="35" t="s">
        <v>31</v>
      </c>
      <c r="N71" s="28" t="s">
        <v>114</v>
      </c>
    </row>
    <row r="72" customFormat="false" ht="30" hidden="false" customHeight="true" outlineLevel="0" collapsed="false">
      <c r="A72" s="32" t="n">
        <v>68</v>
      </c>
      <c r="B72" s="33" t="s">
        <v>561</v>
      </c>
      <c r="C72" s="34" t="s">
        <v>57</v>
      </c>
      <c r="D72" s="34" t="s">
        <v>562</v>
      </c>
      <c r="E72" s="34" t="s">
        <v>563</v>
      </c>
      <c r="F72" s="34" t="s">
        <v>564</v>
      </c>
      <c r="G72" s="34" t="s">
        <v>565</v>
      </c>
      <c r="H72" s="34" t="s">
        <v>566</v>
      </c>
      <c r="I72" s="34" t="s">
        <v>567</v>
      </c>
      <c r="J72" s="34" t="s">
        <v>568</v>
      </c>
      <c r="K72" s="30" t="s">
        <v>133</v>
      </c>
      <c r="L72" s="36" t="s">
        <v>33</v>
      </c>
      <c r="M72" s="36" t="s">
        <v>33</v>
      </c>
      <c r="N72" s="34" t="s">
        <v>244</v>
      </c>
    </row>
    <row r="73" customFormat="false" ht="45" hidden="false" customHeight="true" outlineLevel="0" collapsed="false">
      <c r="A73" s="26" t="n">
        <v>69</v>
      </c>
      <c r="B73" s="27" t="s">
        <v>569</v>
      </c>
      <c r="C73" s="28" t="s">
        <v>57</v>
      </c>
      <c r="D73" s="28" t="s">
        <v>570</v>
      </c>
      <c r="E73" s="28" t="s">
        <v>571</v>
      </c>
      <c r="F73" s="28" t="s">
        <v>572</v>
      </c>
      <c r="G73" s="28" t="s">
        <v>573</v>
      </c>
      <c r="H73" s="28" t="s">
        <v>574</v>
      </c>
      <c r="I73" s="28" t="s">
        <v>575</v>
      </c>
      <c r="J73" s="28" t="s">
        <v>575</v>
      </c>
      <c r="K73" s="29" t="s">
        <v>89</v>
      </c>
      <c r="L73" s="35" t="s">
        <v>31</v>
      </c>
      <c r="M73" s="35" t="s">
        <v>31</v>
      </c>
      <c r="N73" s="28" t="s">
        <v>114</v>
      </c>
    </row>
    <row r="74" customFormat="false" ht="45" hidden="false" customHeight="true" outlineLevel="0" collapsed="false">
      <c r="A74" s="32" t="n">
        <v>70</v>
      </c>
      <c r="B74" s="33" t="s">
        <v>576</v>
      </c>
      <c r="C74" s="34" t="s">
        <v>57</v>
      </c>
      <c r="D74" s="34" t="s">
        <v>577</v>
      </c>
      <c r="E74" s="34" t="s">
        <v>578</v>
      </c>
      <c r="F74" s="34" t="s">
        <v>579</v>
      </c>
      <c r="G74" s="34" t="s">
        <v>580</v>
      </c>
      <c r="H74" s="34" t="s">
        <v>114</v>
      </c>
      <c r="I74" s="34" t="s">
        <v>581</v>
      </c>
      <c r="J74" s="34" t="s">
        <v>581</v>
      </c>
      <c r="K74" s="29" t="s">
        <v>89</v>
      </c>
      <c r="L74" s="35" t="s">
        <v>31</v>
      </c>
      <c r="M74" s="35" t="s">
        <v>31</v>
      </c>
      <c r="N74" s="34" t="s">
        <v>114</v>
      </c>
    </row>
    <row r="75" customFormat="false" ht="45" hidden="false" customHeight="true" outlineLevel="0" collapsed="false">
      <c r="A75" s="26" t="n">
        <v>71</v>
      </c>
      <c r="B75" s="27" t="s">
        <v>582</v>
      </c>
      <c r="C75" s="28" t="s">
        <v>57</v>
      </c>
      <c r="D75" s="28" t="s">
        <v>583</v>
      </c>
      <c r="E75" s="28" t="s">
        <v>584</v>
      </c>
      <c r="F75" s="28" t="s">
        <v>240</v>
      </c>
      <c r="G75" s="28" t="s">
        <v>585</v>
      </c>
      <c r="H75" s="28" t="s">
        <v>586</v>
      </c>
      <c r="I75" s="28" t="s">
        <v>587</v>
      </c>
      <c r="J75" s="28" t="s">
        <v>587</v>
      </c>
      <c r="K75" s="29" t="s">
        <v>89</v>
      </c>
      <c r="L75" s="35" t="s">
        <v>31</v>
      </c>
      <c r="M75" s="35" t="s">
        <v>31</v>
      </c>
      <c r="N75" s="28" t="s">
        <v>114</v>
      </c>
    </row>
    <row r="76" customFormat="false" ht="30" hidden="false" customHeight="true" outlineLevel="0" collapsed="false">
      <c r="A76" s="32" t="n">
        <v>72</v>
      </c>
      <c r="B76" s="33" t="s">
        <v>588</v>
      </c>
      <c r="C76" s="34" t="s">
        <v>57</v>
      </c>
      <c r="D76" s="34" t="s">
        <v>589</v>
      </c>
      <c r="E76" s="34" t="s">
        <v>590</v>
      </c>
      <c r="F76" s="34" t="s">
        <v>591</v>
      </c>
      <c r="G76" s="34" t="s">
        <v>592</v>
      </c>
      <c r="H76" s="34" t="s">
        <v>574</v>
      </c>
      <c r="I76" s="34" t="s">
        <v>593</v>
      </c>
      <c r="J76" s="34" t="s">
        <v>593</v>
      </c>
      <c r="K76" s="29" t="s">
        <v>89</v>
      </c>
      <c r="L76" s="36" t="s">
        <v>33</v>
      </c>
      <c r="M76" s="36" t="s">
        <v>33</v>
      </c>
      <c r="N76" s="34" t="s">
        <v>114</v>
      </c>
    </row>
    <row r="77" customFormat="false" ht="30" hidden="false" customHeight="true" outlineLevel="0" collapsed="false">
      <c r="A77" s="26" t="n">
        <v>73</v>
      </c>
      <c r="B77" s="27" t="s">
        <v>594</v>
      </c>
      <c r="C77" s="28" t="s">
        <v>57</v>
      </c>
      <c r="D77" s="28" t="s">
        <v>595</v>
      </c>
      <c r="E77" s="28" t="s">
        <v>596</v>
      </c>
      <c r="F77" s="28" t="s">
        <v>597</v>
      </c>
      <c r="G77" s="28" t="s">
        <v>598</v>
      </c>
      <c r="H77" s="28" t="s">
        <v>599</v>
      </c>
      <c r="I77" s="28" t="s">
        <v>600</v>
      </c>
      <c r="J77" s="28" t="s">
        <v>601</v>
      </c>
      <c r="K77" s="30" t="s">
        <v>133</v>
      </c>
      <c r="L77" s="36" t="s">
        <v>33</v>
      </c>
      <c r="M77" s="36" t="s">
        <v>33</v>
      </c>
      <c r="N77" s="28" t="s">
        <v>602</v>
      </c>
    </row>
    <row r="78" customFormat="false" ht="30" hidden="false" customHeight="true" outlineLevel="0" collapsed="false">
      <c r="A78" s="32" t="n">
        <v>74</v>
      </c>
      <c r="B78" s="33" t="s">
        <v>603</v>
      </c>
      <c r="C78" s="34" t="s">
        <v>57</v>
      </c>
      <c r="D78" s="34" t="s">
        <v>604</v>
      </c>
      <c r="E78" s="34" t="s">
        <v>605</v>
      </c>
      <c r="F78" s="34" t="s">
        <v>366</v>
      </c>
      <c r="G78" s="34" t="s">
        <v>606</v>
      </c>
      <c r="H78" s="34" t="s">
        <v>607</v>
      </c>
      <c r="I78" s="34" t="s">
        <v>369</v>
      </c>
      <c r="J78" s="34" t="s">
        <v>369</v>
      </c>
      <c r="K78" s="29" t="s">
        <v>89</v>
      </c>
      <c r="L78" s="36" t="s">
        <v>33</v>
      </c>
      <c r="M78" s="36" t="s">
        <v>33</v>
      </c>
      <c r="N78" s="34" t="s">
        <v>195</v>
      </c>
    </row>
    <row r="79" customFormat="false" ht="45" hidden="false" customHeight="true" outlineLevel="0" collapsed="false">
      <c r="A79" s="26" t="n">
        <v>75</v>
      </c>
      <c r="B79" s="27" t="s">
        <v>608</v>
      </c>
      <c r="C79" s="28" t="s">
        <v>59</v>
      </c>
      <c r="D79" s="28" t="s">
        <v>609</v>
      </c>
      <c r="E79" s="28" t="s">
        <v>610</v>
      </c>
      <c r="F79" s="28" t="s">
        <v>611</v>
      </c>
      <c r="G79" s="28" t="s">
        <v>612</v>
      </c>
      <c r="H79" s="28" t="s">
        <v>114</v>
      </c>
      <c r="I79" s="28" t="s">
        <v>613</v>
      </c>
      <c r="J79" s="28" t="s">
        <v>613</v>
      </c>
      <c r="K79" s="29" t="s">
        <v>89</v>
      </c>
      <c r="L79" s="31" t="s">
        <v>29</v>
      </c>
      <c r="M79" s="31" t="s">
        <v>29</v>
      </c>
      <c r="N79" s="28" t="s">
        <v>114</v>
      </c>
    </row>
    <row r="80" customFormat="false" ht="30" hidden="false" customHeight="true" outlineLevel="0" collapsed="false">
      <c r="A80" s="32" t="n">
        <v>76</v>
      </c>
      <c r="B80" s="33" t="s">
        <v>614</v>
      </c>
      <c r="C80" s="34" t="s">
        <v>59</v>
      </c>
      <c r="D80" s="34" t="s">
        <v>615</v>
      </c>
      <c r="E80" s="34" t="s">
        <v>616</v>
      </c>
      <c r="F80" s="34" t="s">
        <v>102</v>
      </c>
      <c r="G80" s="34" t="s">
        <v>617</v>
      </c>
      <c r="H80" s="34" t="s">
        <v>124</v>
      </c>
      <c r="I80" s="34" t="s">
        <v>618</v>
      </c>
      <c r="J80" s="34" t="s">
        <v>618</v>
      </c>
      <c r="K80" s="29" t="s">
        <v>89</v>
      </c>
      <c r="L80" s="31" t="s">
        <v>29</v>
      </c>
      <c r="M80" s="35" t="s">
        <v>31</v>
      </c>
      <c r="N80" s="34" t="s">
        <v>126</v>
      </c>
    </row>
    <row r="81" customFormat="false" ht="30" hidden="false" customHeight="true" outlineLevel="0" collapsed="false">
      <c r="A81" s="26" t="n">
        <v>77</v>
      </c>
      <c r="B81" s="27" t="s">
        <v>619</v>
      </c>
      <c r="C81" s="28" t="s">
        <v>59</v>
      </c>
      <c r="D81" s="28" t="s">
        <v>620</v>
      </c>
      <c r="E81" s="28" t="s">
        <v>621</v>
      </c>
      <c r="F81" s="28" t="s">
        <v>622</v>
      </c>
      <c r="G81" s="28" t="s">
        <v>623</v>
      </c>
      <c r="H81" s="28" t="s">
        <v>114</v>
      </c>
      <c r="I81" s="28" t="s">
        <v>624</v>
      </c>
      <c r="J81" s="28" t="s">
        <v>625</v>
      </c>
      <c r="K81" s="30" t="s">
        <v>133</v>
      </c>
      <c r="L81" s="35" t="s">
        <v>31</v>
      </c>
      <c r="M81" s="35" t="s">
        <v>31</v>
      </c>
      <c r="N81" s="28" t="s">
        <v>626</v>
      </c>
    </row>
    <row r="82" customFormat="false" ht="45" hidden="false" customHeight="true" outlineLevel="0" collapsed="false">
      <c r="A82" s="32" t="n">
        <v>78</v>
      </c>
      <c r="B82" s="33" t="s">
        <v>627</v>
      </c>
      <c r="C82" s="34" t="s">
        <v>61</v>
      </c>
      <c r="D82" s="34" t="s">
        <v>628</v>
      </c>
      <c r="E82" s="34" t="s">
        <v>629</v>
      </c>
      <c r="F82" s="34" t="s">
        <v>630</v>
      </c>
      <c r="G82" s="34" t="s">
        <v>631</v>
      </c>
      <c r="H82" s="34" t="s">
        <v>114</v>
      </c>
      <c r="I82" s="34" t="s">
        <v>632</v>
      </c>
      <c r="J82" s="34" t="s">
        <v>632</v>
      </c>
      <c r="K82" s="29" t="s">
        <v>89</v>
      </c>
      <c r="L82" s="35" t="s">
        <v>31</v>
      </c>
      <c r="M82" s="31" t="s">
        <v>29</v>
      </c>
      <c r="N82" s="34" t="s">
        <v>114</v>
      </c>
    </row>
    <row r="83" customFormat="false" ht="30" hidden="false" customHeight="true" outlineLevel="0" collapsed="false">
      <c r="A83" s="26" t="n">
        <v>79</v>
      </c>
      <c r="B83" s="27" t="s">
        <v>633</v>
      </c>
      <c r="C83" s="28" t="s">
        <v>61</v>
      </c>
      <c r="D83" s="28" t="s">
        <v>634</v>
      </c>
      <c r="E83" s="28" t="s">
        <v>635</v>
      </c>
      <c r="F83" s="28" t="s">
        <v>636</v>
      </c>
      <c r="G83" s="28" t="s">
        <v>637</v>
      </c>
      <c r="H83" s="28" t="s">
        <v>462</v>
      </c>
      <c r="I83" s="28" t="s">
        <v>638</v>
      </c>
      <c r="J83" s="28" t="s">
        <v>639</v>
      </c>
      <c r="K83" s="30" t="s">
        <v>133</v>
      </c>
      <c r="L83" s="35" t="s">
        <v>31</v>
      </c>
      <c r="M83" s="35" t="s">
        <v>31</v>
      </c>
      <c r="N83" s="28" t="s">
        <v>114</v>
      </c>
    </row>
    <row r="84" customFormat="false" ht="30" hidden="false" customHeight="true" outlineLevel="0" collapsed="false">
      <c r="A84" s="32" t="n">
        <v>80</v>
      </c>
      <c r="B84" s="33" t="s">
        <v>640</v>
      </c>
      <c r="C84" s="34" t="s">
        <v>61</v>
      </c>
      <c r="D84" s="34" t="s">
        <v>641</v>
      </c>
      <c r="E84" s="34" t="s">
        <v>642</v>
      </c>
      <c r="F84" s="34" t="s">
        <v>643</v>
      </c>
      <c r="G84" s="34" t="s">
        <v>644</v>
      </c>
      <c r="H84" s="34" t="s">
        <v>645</v>
      </c>
      <c r="I84" s="34" t="s">
        <v>646</v>
      </c>
      <c r="J84" s="34" t="s">
        <v>646</v>
      </c>
      <c r="K84" s="29" t="s">
        <v>89</v>
      </c>
      <c r="L84" s="35" t="s">
        <v>31</v>
      </c>
      <c r="M84" s="35" t="s">
        <v>31</v>
      </c>
      <c r="N84" s="34" t="s">
        <v>114</v>
      </c>
    </row>
    <row r="85" customFormat="false" ht="30" hidden="false" customHeight="true" outlineLevel="0" collapsed="false">
      <c r="A85" s="26" t="n">
        <v>81</v>
      </c>
      <c r="B85" s="27" t="s">
        <v>647</v>
      </c>
      <c r="C85" s="28" t="s">
        <v>61</v>
      </c>
      <c r="D85" s="28" t="s">
        <v>648</v>
      </c>
      <c r="E85" s="28" t="s">
        <v>649</v>
      </c>
      <c r="F85" s="28" t="s">
        <v>650</v>
      </c>
      <c r="G85" s="28" t="s">
        <v>651</v>
      </c>
      <c r="H85" s="28" t="s">
        <v>652</v>
      </c>
      <c r="I85" s="28" t="s">
        <v>653</v>
      </c>
      <c r="J85" s="28" t="s">
        <v>653</v>
      </c>
      <c r="K85" s="29" t="s">
        <v>89</v>
      </c>
      <c r="L85" s="35" t="s">
        <v>31</v>
      </c>
      <c r="M85" s="35" t="s">
        <v>31</v>
      </c>
      <c r="N85" s="28" t="s">
        <v>195</v>
      </c>
    </row>
    <row r="86" customFormat="false" ht="45" hidden="false" customHeight="true" outlineLevel="0" collapsed="false">
      <c r="A86" s="32" t="n">
        <v>82</v>
      </c>
      <c r="B86" s="33" t="s">
        <v>654</v>
      </c>
      <c r="C86" s="34" t="s">
        <v>61</v>
      </c>
      <c r="D86" s="34" t="s">
        <v>655</v>
      </c>
      <c r="E86" s="34" t="s">
        <v>656</v>
      </c>
      <c r="F86" s="34" t="s">
        <v>657</v>
      </c>
      <c r="G86" s="34" t="s">
        <v>658</v>
      </c>
      <c r="H86" s="34" t="s">
        <v>645</v>
      </c>
      <c r="I86" s="34" t="s">
        <v>659</v>
      </c>
      <c r="J86" s="34" t="s">
        <v>659</v>
      </c>
      <c r="K86" s="29" t="s">
        <v>89</v>
      </c>
      <c r="L86" s="35" t="s">
        <v>31</v>
      </c>
      <c r="M86" s="35" t="s">
        <v>31</v>
      </c>
      <c r="N86" s="34" t="s">
        <v>114</v>
      </c>
    </row>
    <row r="87" customFormat="false" ht="30" hidden="false" customHeight="true" outlineLevel="0" collapsed="false">
      <c r="A87" s="26" t="n">
        <v>83</v>
      </c>
      <c r="B87" s="27" t="s">
        <v>660</v>
      </c>
      <c r="C87" s="28" t="s">
        <v>61</v>
      </c>
      <c r="D87" s="28" t="s">
        <v>661</v>
      </c>
      <c r="E87" s="28" t="s">
        <v>662</v>
      </c>
      <c r="F87" s="28" t="s">
        <v>657</v>
      </c>
      <c r="G87" s="28" t="s">
        <v>663</v>
      </c>
      <c r="H87" s="28" t="s">
        <v>645</v>
      </c>
      <c r="I87" s="28" t="s">
        <v>664</v>
      </c>
      <c r="J87" s="28" t="s">
        <v>664</v>
      </c>
      <c r="K87" s="29" t="s">
        <v>89</v>
      </c>
      <c r="L87" s="31" t="s">
        <v>29</v>
      </c>
      <c r="M87" s="35" t="s">
        <v>31</v>
      </c>
      <c r="N87" s="28" t="s">
        <v>114</v>
      </c>
    </row>
    <row r="88" customFormat="false" ht="45" hidden="false" customHeight="true" outlineLevel="0" collapsed="false">
      <c r="A88" s="32" t="n">
        <v>84</v>
      </c>
      <c r="B88" s="33" t="s">
        <v>665</v>
      </c>
      <c r="C88" s="34" t="s">
        <v>61</v>
      </c>
      <c r="D88" s="34" t="s">
        <v>666</v>
      </c>
      <c r="E88" s="34" t="s">
        <v>667</v>
      </c>
      <c r="F88" s="34" t="s">
        <v>668</v>
      </c>
      <c r="G88" s="34" t="s">
        <v>669</v>
      </c>
      <c r="H88" s="34" t="s">
        <v>670</v>
      </c>
      <c r="I88" s="34" t="s">
        <v>671</v>
      </c>
      <c r="J88" s="34" t="s">
        <v>672</v>
      </c>
      <c r="K88" s="37" t="s">
        <v>150</v>
      </c>
      <c r="L88" s="31" t="s">
        <v>29</v>
      </c>
      <c r="M88" s="35" t="s">
        <v>31</v>
      </c>
      <c r="N88" s="34" t="s">
        <v>673</v>
      </c>
    </row>
    <row r="89" customFormat="false" ht="45" hidden="false" customHeight="true" outlineLevel="0" collapsed="false">
      <c r="A89" s="26" t="n">
        <v>85</v>
      </c>
      <c r="B89" s="27" t="s">
        <v>674</v>
      </c>
      <c r="C89" s="28" t="s">
        <v>63</v>
      </c>
      <c r="D89" s="28" t="s">
        <v>675</v>
      </c>
      <c r="E89" s="28" t="s">
        <v>676</v>
      </c>
      <c r="F89" s="28" t="s">
        <v>677</v>
      </c>
      <c r="G89" s="28" t="s">
        <v>678</v>
      </c>
      <c r="H89" s="28" t="s">
        <v>114</v>
      </c>
      <c r="I89" s="28" t="s">
        <v>679</v>
      </c>
      <c r="J89" s="28" t="s">
        <v>679</v>
      </c>
      <c r="K89" s="29" t="s">
        <v>89</v>
      </c>
      <c r="L89" s="31" t="s">
        <v>29</v>
      </c>
      <c r="M89" s="31" t="s">
        <v>29</v>
      </c>
      <c r="N89" s="28" t="s">
        <v>114</v>
      </c>
    </row>
    <row r="90" customFormat="false" ht="45" hidden="false" customHeight="true" outlineLevel="0" collapsed="false">
      <c r="A90" s="32" t="n">
        <v>86</v>
      </c>
      <c r="B90" s="33" t="s">
        <v>680</v>
      </c>
      <c r="C90" s="34" t="s">
        <v>63</v>
      </c>
      <c r="D90" s="34" t="s">
        <v>681</v>
      </c>
      <c r="E90" s="34" t="s">
        <v>682</v>
      </c>
      <c r="F90" s="34" t="s">
        <v>677</v>
      </c>
      <c r="G90" s="34" t="s">
        <v>683</v>
      </c>
      <c r="H90" s="34" t="s">
        <v>684</v>
      </c>
      <c r="I90" s="34" t="s">
        <v>685</v>
      </c>
      <c r="J90" s="34" t="s">
        <v>685</v>
      </c>
      <c r="K90" s="29" t="s">
        <v>89</v>
      </c>
      <c r="L90" s="30" t="s">
        <v>27</v>
      </c>
      <c r="M90" s="31" t="s">
        <v>29</v>
      </c>
      <c r="N90" s="34" t="s">
        <v>114</v>
      </c>
    </row>
    <row r="91" customFormat="false" ht="45" hidden="false" customHeight="true" outlineLevel="0" collapsed="false">
      <c r="A91" s="26" t="n">
        <v>87</v>
      </c>
      <c r="B91" s="27" t="s">
        <v>686</v>
      </c>
      <c r="C91" s="28" t="s">
        <v>63</v>
      </c>
      <c r="D91" s="28" t="s">
        <v>687</v>
      </c>
      <c r="E91" s="28" t="s">
        <v>688</v>
      </c>
      <c r="F91" s="28" t="s">
        <v>689</v>
      </c>
      <c r="G91" s="28" t="s">
        <v>690</v>
      </c>
      <c r="H91" s="28" t="s">
        <v>691</v>
      </c>
      <c r="I91" s="28" t="s">
        <v>692</v>
      </c>
      <c r="J91" s="28" t="s">
        <v>692</v>
      </c>
      <c r="K91" s="29" t="s">
        <v>89</v>
      </c>
      <c r="L91" s="31" t="s">
        <v>29</v>
      </c>
      <c r="M91" s="31" t="s">
        <v>29</v>
      </c>
      <c r="N91" s="28" t="s">
        <v>210</v>
      </c>
    </row>
    <row r="92" customFormat="false" ht="30" hidden="false" customHeight="true" outlineLevel="0" collapsed="false">
      <c r="A92" s="32" t="n">
        <v>88</v>
      </c>
      <c r="B92" s="33" t="s">
        <v>693</v>
      </c>
      <c r="C92" s="34" t="s">
        <v>63</v>
      </c>
      <c r="D92" s="34" t="s">
        <v>694</v>
      </c>
      <c r="E92" s="34" t="s">
        <v>695</v>
      </c>
      <c r="F92" s="34" t="s">
        <v>677</v>
      </c>
      <c r="G92" s="34" t="s">
        <v>696</v>
      </c>
      <c r="H92" s="34" t="s">
        <v>697</v>
      </c>
      <c r="I92" s="34" t="s">
        <v>698</v>
      </c>
      <c r="J92" s="34" t="s">
        <v>698</v>
      </c>
      <c r="K92" s="29" t="s">
        <v>89</v>
      </c>
      <c r="L92" s="31" t="s">
        <v>29</v>
      </c>
      <c r="M92" s="31" t="s">
        <v>29</v>
      </c>
      <c r="N92" s="34" t="s">
        <v>699</v>
      </c>
    </row>
    <row r="93" customFormat="false" ht="45" hidden="false" customHeight="true" outlineLevel="0" collapsed="false">
      <c r="A93" s="26" t="n">
        <v>89</v>
      </c>
      <c r="B93" s="27" t="s">
        <v>700</v>
      </c>
      <c r="C93" s="28" t="s">
        <v>63</v>
      </c>
      <c r="D93" s="28" t="s">
        <v>701</v>
      </c>
      <c r="E93" s="28" t="s">
        <v>702</v>
      </c>
      <c r="F93" s="28" t="s">
        <v>703</v>
      </c>
      <c r="G93" s="28" t="s">
        <v>704</v>
      </c>
      <c r="H93" s="28" t="s">
        <v>705</v>
      </c>
      <c r="I93" s="28" t="s">
        <v>706</v>
      </c>
      <c r="J93" s="28" t="s">
        <v>706</v>
      </c>
      <c r="K93" s="29" t="s">
        <v>89</v>
      </c>
      <c r="L93" s="31" t="s">
        <v>29</v>
      </c>
      <c r="M93" s="31" t="s">
        <v>29</v>
      </c>
      <c r="N93" s="28" t="s">
        <v>114</v>
      </c>
    </row>
    <row r="94" customFormat="false" ht="45" hidden="false" customHeight="true" outlineLevel="0" collapsed="false">
      <c r="A94" s="32" t="n">
        <v>90</v>
      </c>
      <c r="B94" s="33" t="s">
        <v>707</v>
      </c>
      <c r="C94" s="34" t="s">
        <v>63</v>
      </c>
      <c r="D94" s="34" t="s">
        <v>708</v>
      </c>
      <c r="E94" s="34" t="s">
        <v>709</v>
      </c>
      <c r="F94" s="34" t="s">
        <v>710</v>
      </c>
      <c r="G94" s="34" t="s">
        <v>711</v>
      </c>
      <c r="H94" s="34" t="s">
        <v>712</v>
      </c>
      <c r="I94" s="34" t="s">
        <v>713</v>
      </c>
      <c r="J94" s="34" t="s">
        <v>713</v>
      </c>
      <c r="K94" s="29" t="s">
        <v>89</v>
      </c>
      <c r="L94" s="31" t="s">
        <v>29</v>
      </c>
      <c r="M94" s="31" t="s">
        <v>29</v>
      </c>
      <c r="N94" s="34" t="s">
        <v>714</v>
      </c>
    </row>
    <row r="95" customFormat="false" ht="45" hidden="false" customHeight="true" outlineLevel="0" collapsed="false">
      <c r="A95" s="26" t="n">
        <v>91</v>
      </c>
      <c r="B95" s="27" t="s">
        <v>715</v>
      </c>
      <c r="C95" s="28" t="s">
        <v>63</v>
      </c>
      <c r="D95" s="28" t="s">
        <v>716</v>
      </c>
      <c r="E95" s="28" t="s">
        <v>717</v>
      </c>
      <c r="F95" s="28" t="s">
        <v>718</v>
      </c>
      <c r="G95" s="28" t="s">
        <v>719</v>
      </c>
      <c r="H95" s="28" t="s">
        <v>720</v>
      </c>
      <c r="I95" s="28" t="s">
        <v>721</v>
      </c>
      <c r="J95" s="28" t="s">
        <v>721</v>
      </c>
      <c r="K95" s="29" t="s">
        <v>89</v>
      </c>
      <c r="L95" s="30" t="s">
        <v>27</v>
      </c>
      <c r="M95" s="31" t="s">
        <v>29</v>
      </c>
      <c r="N95" s="28" t="s">
        <v>722</v>
      </c>
    </row>
    <row r="96" customFormat="false" ht="45" hidden="false" customHeight="true" outlineLevel="0" collapsed="false">
      <c r="A96" s="32" t="n">
        <v>92</v>
      </c>
      <c r="B96" s="33" t="s">
        <v>723</v>
      </c>
      <c r="C96" s="34" t="s">
        <v>63</v>
      </c>
      <c r="D96" s="34" t="s">
        <v>724</v>
      </c>
      <c r="E96" s="34" t="s">
        <v>725</v>
      </c>
      <c r="F96" s="34" t="s">
        <v>726</v>
      </c>
      <c r="G96" s="34" t="s">
        <v>727</v>
      </c>
      <c r="H96" s="34" t="s">
        <v>728</v>
      </c>
      <c r="I96" s="34" t="s">
        <v>497</v>
      </c>
      <c r="J96" s="34" t="s">
        <v>497</v>
      </c>
      <c r="K96" s="29" t="s">
        <v>89</v>
      </c>
      <c r="L96" s="31" t="s">
        <v>29</v>
      </c>
      <c r="M96" s="31" t="s">
        <v>29</v>
      </c>
      <c r="N96" s="34" t="s">
        <v>114</v>
      </c>
    </row>
    <row r="97" customFormat="false" ht="30" hidden="false" customHeight="true" outlineLevel="0" collapsed="false">
      <c r="A97" s="26" t="n">
        <v>93</v>
      </c>
      <c r="B97" s="27" t="s">
        <v>729</v>
      </c>
      <c r="C97" s="28" t="s">
        <v>63</v>
      </c>
      <c r="D97" s="28" t="s">
        <v>730</v>
      </c>
      <c r="E97" s="28" t="s">
        <v>731</v>
      </c>
      <c r="F97" s="28" t="s">
        <v>677</v>
      </c>
      <c r="G97" s="28" t="s">
        <v>732</v>
      </c>
      <c r="H97" s="28" t="s">
        <v>733</v>
      </c>
      <c r="I97" s="28" t="s">
        <v>734</v>
      </c>
      <c r="J97" s="28" t="s">
        <v>734</v>
      </c>
      <c r="K97" s="29" t="s">
        <v>89</v>
      </c>
      <c r="L97" s="31" t="s">
        <v>29</v>
      </c>
      <c r="M97" s="31" t="s">
        <v>29</v>
      </c>
      <c r="N97" s="28" t="s">
        <v>259</v>
      </c>
    </row>
    <row r="98" customFormat="false" ht="30" hidden="false" customHeight="true" outlineLevel="0" collapsed="false">
      <c r="A98" s="32" t="n">
        <v>94</v>
      </c>
      <c r="B98" s="33" t="s">
        <v>735</v>
      </c>
      <c r="C98" s="34" t="s">
        <v>63</v>
      </c>
      <c r="D98" s="34" t="s">
        <v>736</v>
      </c>
      <c r="E98" s="34" t="s">
        <v>737</v>
      </c>
      <c r="F98" s="34" t="s">
        <v>677</v>
      </c>
      <c r="G98" s="34" t="s">
        <v>738</v>
      </c>
      <c r="H98" s="34" t="s">
        <v>739</v>
      </c>
      <c r="I98" s="34" t="s">
        <v>740</v>
      </c>
      <c r="J98" s="34" t="s">
        <v>740</v>
      </c>
      <c r="K98" s="29" t="s">
        <v>89</v>
      </c>
      <c r="L98" s="31" t="s">
        <v>29</v>
      </c>
      <c r="M98" s="31" t="s">
        <v>29</v>
      </c>
      <c r="N98" s="34" t="s">
        <v>244</v>
      </c>
    </row>
    <row r="99" customFormat="false" ht="45" hidden="false" customHeight="true" outlineLevel="0" collapsed="false">
      <c r="A99" s="26" t="n">
        <v>95</v>
      </c>
      <c r="B99" s="27" t="s">
        <v>741</v>
      </c>
      <c r="C99" s="28" t="s">
        <v>63</v>
      </c>
      <c r="D99" s="28" t="s">
        <v>742</v>
      </c>
      <c r="E99" s="28" t="s">
        <v>743</v>
      </c>
      <c r="F99" s="28" t="s">
        <v>744</v>
      </c>
      <c r="G99" s="28" t="s">
        <v>745</v>
      </c>
      <c r="H99" s="28" t="s">
        <v>746</v>
      </c>
      <c r="I99" s="28" t="s">
        <v>747</v>
      </c>
      <c r="J99" s="28" t="s">
        <v>748</v>
      </c>
      <c r="K99" s="30" t="s">
        <v>133</v>
      </c>
      <c r="L99" s="30" t="s">
        <v>27</v>
      </c>
      <c r="M99" s="31" t="s">
        <v>29</v>
      </c>
      <c r="N99" s="28" t="s">
        <v>749</v>
      </c>
    </row>
    <row r="100" customFormat="false" ht="30" hidden="false" customHeight="true" outlineLevel="0" collapsed="false">
      <c r="A100" s="32" t="n">
        <v>96</v>
      </c>
      <c r="B100" s="33" t="s">
        <v>750</v>
      </c>
      <c r="C100" s="34" t="s">
        <v>63</v>
      </c>
      <c r="D100" s="34" t="s">
        <v>751</v>
      </c>
      <c r="E100" s="34" t="s">
        <v>752</v>
      </c>
      <c r="F100" s="34" t="s">
        <v>677</v>
      </c>
      <c r="G100" s="34" t="s">
        <v>753</v>
      </c>
      <c r="H100" s="34" t="s">
        <v>754</v>
      </c>
      <c r="I100" s="34" t="s">
        <v>140</v>
      </c>
      <c r="J100" s="34" t="s">
        <v>140</v>
      </c>
      <c r="K100" s="29" t="s">
        <v>89</v>
      </c>
      <c r="L100" s="35" t="s">
        <v>31</v>
      </c>
      <c r="M100" s="35" t="s">
        <v>31</v>
      </c>
      <c r="N100" s="34" t="s">
        <v>244</v>
      </c>
    </row>
    <row r="101" customFormat="false" ht="45" hidden="false" customHeight="true" outlineLevel="0" collapsed="false">
      <c r="A101" s="26" t="n">
        <v>97</v>
      </c>
      <c r="B101" s="27" t="s">
        <v>755</v>
      </c>
      <c r="C101" s="28" t="s">
        <v>65</v>
      </c>
      <c r="D101" s="28" t="s">
        <v>756</v>
      </c>
      <c r="E101" s="28" t="s">
        <v>757</v>
      </c>
      <c r="F101" s="28" t="s">
        <v>240</v>
      </c>
      <c r="G101" s="28" t="s">
        <v>758</v>
      </c>
      <c r="H101" s="28" t="s">
        <v>759</v>
      </c>
      <c r="I101" s="28" t="s">
        <v>760</v>
      </c>
      <c r="J101" s="28" t="s">
        <v>760</v>
      </c>
      <c r="K101" s="29" t="s">
        <v>89</v>
      </c>
      <c r="L101" s="35" t="s">
        <v>31</v>
      </c>
      <c r="M101" s="35" t="s">
        <v>31</v>
      </c>
      <c r="N101" s="28" t="s">
        <v>114</v>
      </c>
    </row>
    <row r="102" customFormat="false" ht="30" hidden="false" customHeight="true" outlineLevel="0" collapsed="false">
      <c r="A102" s="32" t="n">
        <v>98</v>
      </c>
      <c r="B102" s="33" t="s">
        <v>761</v>
      </c>
      <c r="C102" s="34" t="s">
        <v>65</v>
      </c>
      <c r="D102" s="34" t="s">
        <v>762</v>
      </c>
      <c r="E102" s="34" t="s">
        <v>763</v>
      </c>
      <c r="F102" s="34" t="s">
        <v>240</v>
      </c>
      <c r="G102" s="34" t="s">
        <v>764</v>
      </c>
      <c r="H102" s="34" t="s">
        <v>765</v>
      </c>
      <c r="I102" s="34" t="s">
        <v>766</v>
      </c>
      <c r="J102" s="34" t="s">
        <v>766</v>
      </c>
      <c r="K102" s="29" t="s">
        <v>89</v>
      </c>
      <c r="L102" s="35" t="s">
        <v>31</v>
      </c>
      <c r="M102" s="35" t="s">
        <v>31</v>
      </c>
      <c r="N102" s="34" t="s">
        <v>259</v>
      </c>
    </row>
    <row r="103" customFormat="false" ht="30" hidden="false" customHeight="true" outlineLevel="0" collapsed="false">
      <c r="A103" s="26" t="n">
        <v>99</v>
      </c>
      <c r="B103" s="27" t="s">
        <v>767</v>
      </c>
      <c r="C103" s="28" t="s">
        <v>65</v>
      </c>
      <c r="D103" s="28" t="s">
        <v>768</v>
      </c>
      <c r="E103" s="28" t="s">
        <v>769</v>
      </c>
      <c r="F103" s="28" t="s">
        <v>240</v>
      </c>
      <c r="G103" s="28" t="s">
        <v>770</v>
      </c>
      <c r="H103" s="28" t="s">
        <v>771</v>
      </c>
      <c r="I103" s="28" t="s">
        <v>772</v>
      </c>
      <c r="J103" s="28" t="s">
        <v>773</v>
      </c>
      <c r="K103" s="30" t="s">
        <v>133</v>
      </c>
      <c r="L103" s="36" t="s">
        <v>33</v>
      </c>
      <c r="M103" s="36" t="s">
        <v>33</v>
      </c>
      <c r="N103" s="28" t="s">
        <v>244</v>
      </c>
    </row>
    <row r="104" customFormat="false" ht="30" hidden="false" customHeight="true" outlineLevel="0" collapsed="false">
      <c r="A104" s="32" t="n">
        <v>100</v>
      </c>
      <c r="B104" s="33" t="s">
        <v>774</v>
      </c>
      <c r="C104" s="34" t="s">
        <v>65</v>
      </c>
      <c r="D104" s="34" t="s">
        <v>775</v>
      </c>
      <c r="E104" s="34" t="s">
        <v>776</v>
      </c>
      <c r="F104" s="34" t="s">
        <v>102</v>
      </c>
      <c r="G104" s="34" t="s">
        <v>777</v>
      </c>
      <c r="H104" s="34" t="s">
        <v>124</v>
      </c>
      <c r="I104" s="34" t="s">
        <v>618</v>
      </c>
      <c r="J104" s="34" t="s">
        <v>618</v>
      </c>
      <c r="K104" s="29" t="s">
        <v>89</v>
      </c>
      <c r="L104" s="35" t="s">
        <v>31</v>
      </c>
      <c r="M104" s="35" t="s">
        <v>31</v>
      </c>
      <c r="N104" s="34" t="s">
        <v>126</v>
      </c>
    </row>
  </sheetData>
  <autoFilter ref="A4:N104"/>
  <mergeCells count="2">
    <mergeCell ref="A1:N1"/>
    <mergeCell ref="A2:N2"/>
  </mergeCells>
  <dataValidations count="3">
    <dataValidation allowBlank="true" error="Pilih salah satu: Not Executed, Pass, Fail, Blocked" errorStyle="stop" errorTitle="Status tidak valid" operator="between" showDropDown="false" showErrorMessage="false" showInputMessage="false" sqref="K5:K104" type="list">
      <formula1>"Not Executed,Pass,Fail,Blocked"</formula1>
      <formula2>0</formula2>
    </dataValidation>
    <dataValidation allowBlank="true" errorStyle="stop" operator="between" showDropDown="false" showErrorMessage="false" showInputMessage="false" sqref="L5:L104" type="list">
      <formula1>"Critical,High,Medium,Low"</formula1>
      <formula2>0</formula2>
    </dataValidation>
    <dataValidation allowBlank="true" errorStyle="stop" operator="between" showDropDown="false" showErrorMessage="false" showInputMessage="false" sqref="M5:M104"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2026-07-15T23:49:41Z</dcterms:created>
  <dc:creator>openpyxl</dc:creator>
  <dc:description/>
  <dc:language>en-US</dc:language>
  <cp:lastModifiedBy/>
  <dcterms:modified xsi:type="dcterms:W3CDTF">2026-07-15T23:49:41Z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